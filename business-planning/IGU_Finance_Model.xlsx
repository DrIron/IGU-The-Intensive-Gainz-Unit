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ojec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IGU model</author>
  </authors>
  <commentList>
    <comment ref="A25" authorId="0">
      <text>
        <r>
          <rPr>
            <sz val="10"/>
            <rFont val="Arial"/>
            <family val="2"/>
          </rPr>
          <t xml:space="preserve">Supabase + Vercel + Sentry + Resend + domain, KWD-equivalent. Estimate.</t>
        </r>
      </text>
    </comment>
    <comment ref="E11" authorId="0">
      <text>
        <r>
          <rPr>
            <sz val="10"/>
            <rFont val="Arial"/>
            <family val="2"/>
          </rPr>
          <t xml:space="preserve">Only Team Plan ops (2.0 KWD) confirmed from igu_operations_costs; others are estimates — verify live.</t>
        </r>
      </text>
    </comment>
  </commentList>
</comments>
</file>

<file path=xl/sharedStrings.xml><?xml version="1.0" encoding="utf-8"?>
<sst xmlns="http://schemas.openxmlformats.org/spreadsheetml/2006/main" count="78" uniqueCount="78">
  <si>
    <t xml:space="preserve">IGU Finance Model — Assumptions</t>
  </si>
  <si>
    <t xml:space="preserve">Bootstrapped: 0 KWD starting capital. Edit blue cells to run scenarios.</t>
  </si>
  <si>
    <t xml:space="preserve">Key rates</t>
  </si>
  <si>
    <t xml:space="preserve">Starting capital (KWD)</t>
  </si>
  <si>
    <t xml:space="preserve">Monthly churn rate</t>
  </si>
  <si>
    <t xml:space="preserve">Coach level assumed</t>
  </si>
  <si>
    <t xml:space="preserve">Junior</t>
  </si>
  <si>
    <t xml:space="preserve">Per-tier inputs (KWD per client / month)</t>
  </si>
  <si>
    <t xml:space="preserve">Tier</t>
  </si>
  <si>
    <t xml:space="preserve">Price</t>
  </si>
  <si>
    <t xml:space="preserve">Coach pay</t>
  </si>
  <si>
    <t xml:space="preserve">Dietitian pay</t>
  </si>
  <si>
    <t xml:space="preserve">Ops cost</t>
  </si>
  <si>
    <t xml:space="preserve">Mix %</t>
  </si>
  <si>
    <t xml:space="preserve">Team Plan</t>
  </si>
  <si>
    <t xml:space="preserve">1:1 Online</t>
  </si>
  <si>
    <t xml:space="preserve">1:1 Complete</t>
  </si>
  <si>
    <t xml:space="preserve">Hybrid</t>
  </si>
  <si>
    <t xml:space="preserve">In-Person</t>
  </si>
  <si>
    <t xml:space="preserve">Mix check (should = 100%)</t>
  </si>
  <si>
    <t xml:space="preserve">Blended per active client (weighted by mix)</t>
  </si>
  <si>
    <t xml:space="preserve">Blended price (ARPU)</t>
  </si>
  <si>
    <t xml:space="preserve">Blended coach + dietitian payout</t>
  </si>
  <si>
    <t xml:space="preserve">Blended ops cost</t>
  </si>
  <si>
    <t xml:space="preserve">Blended IGU margin / client</t>
  </si>
  <si>
    <t xml:space="preserve">Operating fixed costs (KWD / month)</t>
  </si>
  <si>
    <t xml:space="preserve">Software &amp; infrastructure</t>
  </si>
  <si>
    <t xml:space="preserve">Marketing &amp; misc</t>
  </si>
  <si>
    <t xml:space="preserve">Operating fixed total</t>
  </si>
  <si>
    <t xml:space="preserve">Note: founder draw &amp; developer pay are modelled per-month on the Projection</t>
  </si>
  <si>
    <t xml:space="preserve">sheet (blue columns) — fund them from surplus once margin supports it.</t>
  </si>
  <si>
    <t xml:space="preserve">IGU Finance Model — 18-Month Projection</t>
  </si>
  <si>
    <t xml:space="preserve">Active clients ramp from 0. Blue cells are inputs (new clients, founder draw, dev pay). Everything else recalculates.</t>
  </si>
  <si>
    <t xml:space="preserve">Month</t>
  </si>
  <si>
    <t xml:space="preserve">New clients</t>
  </si>
  <si>
    <t xml:space="preserve">Churned</t>
  </si>
  <si>
    <t xml:space="preserve">Active</t>
  </si>
  <si>
    <t xml:space="preserve">MRR</t>
  </si>
  <si>
    <t xml:space="preserve">Coach+Diet</t>
  </si>
  <si>
    <t xml:space="preserve">Ops</t>
  </si>
  <si>
    <t xml:space="preserve">IGU gross</t>
  </si>
  <si>
    <t xml:space="preserve">Op. fixed</t>
  </si>
  <si>
    <t xml:space="preserve">Founder draw</t>
  </si>
  <si>
    <t xml:space="preserve">Dev / contractor</t>
  </si>
  <si>
    <t xml:space="preserve">Net profit</t>
  </si>
  <si>
    <t xml:space="preserve">Cumul. cash</t>
  </si>
  <si>
    <t xml:space="preserve">Start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</si>
  <si>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</si>
  <si>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</si>
  <si>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</si>
  <si>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</si>
  <si>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</si>
  <si>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</si>
  <si>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</si>
  <si>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</si>
  <si>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</si>
  <si>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</si>
  <si>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</si>
  <si>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</si>
  <si>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</si>
  <si>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</si>
  <si>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</si>
  <si>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</si>
  <si>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</si>
  <si>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</si>
  <si>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Year-1 / 18-mo</t>
  </si>
  <si>
    <t xml:space="preserve">Summary</t>
  </si>
  <si>
    <t xml:space="preserve">Blended ARPU (KWD/client)</t>
  </si>
  <si>
    <t xml:space="preserve">Blended IGU margin (KWD/client)</t>
  </si>
  <si>
    <t xml:space="preserve">Active clients @ month 6 (Dec-26)</t>
  </si>
  <si>
    <t xml:space="preserve">Active clients @ month 12 (Jun-27)</t>
  </si>
  <si>
    <t xml:space="preserve">Active clients @ month 18 (Dec-27)</t>
  </si>
  <si>
    <t xml:space="preserve">IGU gross profit @ month 12 (monthly)</t>
  </si>
  <si>
    <t xml:space="preserve">Net cash retained over 18 months</t>
  </si>
  <si>
    <t xml:space="preserve">Monthly surplus @ M6 (before draw/dev)</t>
  </si>
  <si>
    <t xml:space="preserve">Bootstrap logic: coaches &amp; dietitians are paid per client out of that client's fee, so they</t>
  </si>
  <si>
    <t xml:space="preserve">are a variable cost, not upfront salary. With 0 capital the business self-funds; the surplus</t>
  </si>
  <si>
    <t xml:space="preserve">column is the pool from which you can start paying yourself and a developer.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</si>
</sst>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#,##0.0"/>
    <numFmt numFmtId="168" formatCode="0;0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  <font>
      <i val="true"/>
      <sz val="11"/>
      <color rgb="FF88888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CE6F1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Active clients &amp; IGU gross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Projection!D4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Projection!$A$6:$A$23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Projection!$D$5:$D$23</c:f>
              <c:numCache>
                <c:formatCode>0;0;\-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36</c:v>
                </c:pt>
                <c:pt idx="3">
                  <c:v>52.4</c:v>
                </c:pt>
                <c:pt idx="4">
                  <c:v>69.16</c:v>
                </c:pt>
                <c:pt idx="5">
                  <c:v>86.244</c:v>
                </c:pt>
                <c:pt idx="6">
                  <c:v>102.6196</c:v>
                </c:pt>
                <c:pt idx="7">
                  <c:v>118.35764</c:v>
                </c:pt>
                <c:pt idx="8">
                  <c:v>133.521876</c:v>
                </c:pt>
                <c:pt idx="9">
                  <c:v>148.1696884</c:v>
                </c:pt>
                <c:pt idx="10">
                  <c:v>161.35271956</c:v>
                </c:pt>
                <c:pt idx="11">
                  <c:v>175.217447604</c:v>
                </c:pt>
                <c:pt idx="12">
                  <c:v>187.6957028436</c:v>
                </c:pt>
                <c:pt idx="13">
                  <c:v>198.92613255924</c:v>
                </c:pt>
                <c:pt idx="14">
                  <c:v>209.033519303316</c:v>
                </c:pt>
                <c:pt idx="15">
                  <c:v>218.130167372984</c:v>
                </c:pt>
                <c:pt idx="16">
                  <c:v>226.317150635686</c:v>
                </c:pt>
                <c:pt idx="17">
                  <c:v>233.685435572117</c:v>
                </c:pt>
                <c:pt idx="18">
                  <c:v>240.316892014906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Projection!H4</c:f>
              <c:strCache>
                <c:ptCount val="1"/>
                <c:pt idx="0">
                  <c:v>IGU gross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Projection!$A$6:$A$23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Projection!$H$5:$H$23</c:f>
              <c:numCache>
                <c:formatCode>#,##0;\(#,##0\);\-</c:formatCode>
                <c:ptCount val="19"/>
                <c:pt idx="1">
                  <c:v>527</c:v>
                </c:pt>
                <c:pt idx="2">
                  <c:v>948.6</c:v>
                </c:pt>
                <c:pt idx="3">
                  <c:v>1380.74</c:v>
                </c:pt>
                <c:pt idx="4">
                  <c:v>1822.366</c:v>
                </c:pt>
                <c:pt idx="5">
                  <c:v>2272.5294</c:v>
                </c:pt>
                <c:pt idx="6">
                  <c:v>2704.02646</c:v>
                </c:pt>
                <c:pt idx="7">
                  <c:v>3118.723814</c:v>
                </c:pt>
                <c:pt idx="8">
                  <c:v>3518.3014326</c:v>
                </c:pt>
                <c:pt idx="9">
                  <c:v>3904.27128934</c:v>
                </c:pt>
                <c:pt idx="10">
                  <c:v>4251.644160406</c:v>
                </c:pt>
                <c:pt idx="11">
                  <c:v>4616.9797443654</c:v>
                </c:pt>
                <c:pt idx="12">
                  <c:v>4945.78176992886</c:v>
                </c:pt>
                <c:pt idx="13">
                  <c:v>5241.70359293598</c:v>
                </c:pt>
                <c:pt idx="14">
                  <c:v>5508.03323364238</c:v>
                </c:pt>
                <c:pt idx="15">
                  <c:v>5747.72991027814</c:v>
                </c:pt>
                <c:pt idx="16">
                  <c:v>5963.45691925033</c:v>
                </c:pt>
                <c:pt idx="17">
                  <c:v>6157.61122732529</c:v>
                </c:pt>
                <c:pt idx="18">
                  <c:v>6332.35010459277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928733"/>
        <c:axId val="97593588"/>
      </c:lineChart>
      <c:catAx>
        <c:axId val="169287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593588"/>
        <c:crosses val="autoZero"/>
        <c:auto val="1"/>
        <c:lblAlgn val="ctr"/>
        <c:lblOffset val="100"/>
        <c:noMultiLvlLbl val="0"/>
      </c:catAx>
      <c:valAx>
        <c:axId val="975935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KWD / clients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9287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25</xdr:row>
      <xdr:rowOff>0</xdr:rowOff>
    </xdr:from>
    <xdr:to>
      <xdr:col>12</xdr:col>
      <xdr:colOff>276840</xdr:colOff>
      <xdr:row>40</xdr:row>
      <xdr:rowOff>21960</xdr:rowOff>
    </xdr:to>
    <xdr:graphicFrame>
      <xdr:nvGraphicFramePr>
        <xdr:cNvPr id="1" name="Chart 1"/>
        <xdr:cNvGraphicFramePr/>
      </xdr:nvGraphicFramePr>
      <xdr:xfrm>
        <a:off x="3101400" y="49428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0" t="s">
        <v>3</v>
      </c>
      <c r="B5" s="5" t="n">
        <v>0</v>
      </c>
    </row>
    <row r="6" customFormat="false" ht="15" hidden="false" customHeight="false" outlineLevel="0" collapsed="false">
      <c r="A6" s="0" t="s">
        <v>4</v>
      </c>
      <c r="B6" s="6" t="n">
        <v>0.1</v>
      </c>
    </row>
    <row r="7" customFormat="false" ht="15" hidden="false" customHeight="false" outlineLevel="0" collapsed="false">
      <c r="A7" s="0" t="s">
        <v>5</v>
      </c>
      <c r="B7" s="7" t="s">
        <v>6</v>
      </c>
    </row>
    <row r="9" customFormat="false" ht="15" hidden="false" customHeight="false" outlineLevel="0" collapsed="false">
      <c r="A9" s="3" t="s">
        <v>7</v>
      </c>
      <c r="B9" s="4"/>
      <c r="C9" s="4"/>
      <c r="D9" s="4"/>
      <c r="E9" s="4"/>
      <c r="F9" s="4"/>
    </row>
    <row r="10" customFormat="false" ht="15" hidden="false" customHeight="false" outlineLevel="0" collapsed="false">
      <c r="A10" s="8" t="s">
        <v>8</v>
      </c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</row>
    <row r="11" customFormat="false" ht="15" hidden="false" customHeight="false" outlineLevel="0" collapsed="false">
      <c r="A11" s="9" t="s">
        <v>14</v>
      </c>
      <c r="B11" s="10" t="n">
        <v>12</v>
      </c>
      <c r="C11" s="10" t="n">
        <v>7</v>
      </c>
      <c r="D11" s="10" t="n">
        <v>0</v>
      </c>
      <c r="E11" s="10" t="n">
        <v>2</v>
      </c>
      <c r="F11" s="11" t="n">
        <v>0.35</v>
      </c>
    </row>
    <row r="12" customFormat="false" ht="15" hidden="false" customHeight="false" outlineLevel="0" collapsed="false">
      <c r="A12" s="9" t="s">
        <v>15</v>
      </c>
      <c r="B12" s="10" t="n">
        <v>40</v>
      </c>
      <c r="C12" s="10" t="n">
        <v>20</v>
      </c>
      <c r="D12" s="10" t="n">
        <v>0</v>
      </c>
      <c r="E12" s="10" t="n">
        <v>3</v>
      </c>
      <c r="F12" s="11" t="n">
        <v>0.3</v>
      </c>
    </row>
    <row r="13" customFormat="false" ht="15" hidden="false" customHeight="false" outlineLevel="0" collapsed="false">
      <c r="A13" s="9" t="s">
        <v>16</v>
      </c>
      <c r="B13" s="10" t="n">
        <v>75</v>
      </c>
      <c r="C13" s="10" t="n">
        <v>20</v>
      </c>
      <c r="D13" s="10" t="n">
        <v>15</v>
      </c>
      <c r="E13" s="10" t="n">
        <v>4</v>
      </c>
      <c r="F13" s="11" t="n">
        <v>0.2</v>
      </c>
    </row>
    <row r="14" customFormat="false" ht="15" hidden="false" customHeight="false" outlineLevel="0" collapsed="false">
      <c r="A14" s="9" t="s">
        <v>17</v>
      </c>
      <c r="B14" s="10" t="n">
        <v>150</v>
      </c>
      <c r="C14" s="10" t="n">
        <v>60</v>
      </c>
      <c r="D14" s="10" t="n">
        <v>15</v>
      </c>
      <c r="E14" s="10" t="n">
        <v>6</v>
      </c>
      <c r="F14" s="11" t="n">
        <v>0.1</v>
      </c>
    </row>
    <row r="15" customFormat="false" ht="15" hidden="false" customHeight="false" outlineLevel="0" collapsed="false">
      <c r="A15" s="9" t="s">
        <v>18</v>
      </c>
      <c r="B15" s="10" t="n">
        <v>250</v>
      </c>
      <c r="C15" s="10" t="n">
        <v>105</v>
      </c>
      <c r="D15" s="10" t="n">
        <v>15</v>
      </c>
      <c r="E15" s="10" t="n">
        <v>8</v>
      </c>
      <c r="F15" s="11" t="n">
        <v>0.05</v>
      </c>
    </row>
    <row r="16" customFormat="false" ht="15" hidden="false" customHeight="false" outlineLevel="0" collapsed="false">
      <c r="A16" s="12" t="s">
        <v>19</v>
      </c>
      <c r="F16" s="13" t="n">
        <f aca="false">SUM(F11:F15)</f>
        <v>1</v>
      </c>
    </row>
    <row r="18" customFormat="false" ht="15" hidden="false" customHeight="false" outlineLevel="0" collapsed="false">
      <c r="A18" s="3" t="s">
        <v>20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0" t="s">
        <v>21</v>
      </c>
      <c r="B19" s="14" t="n">
        <f aca="false">SUMPRODUCT(B11:B15,F11:F15)</f>
        <v>58.7</v>
      </c>
    </row>
    <row r="20" customFormat="false" ht="15" hidden="false" customHeight="false" outlineLevel="0" collapsed="false">
      <c r="A20" s="0" t="s">
        <v>22</v>
      </c>
      <c r="B20" s="15" t="n">
        <f aca="false">SUMPRODUCT((C11:C15+D11:D15),F11:F15)</f>
        <v>28.95</v>
      </c>
    </row>
    <row r="21" customFormat="false" ht="15" hidden="false" customHeight="false" outlineLevel="0" collapsed="false">
      <c r="A21" s="0" t="s">
        <v>23</v>
      </c>
      <c r="B21" s="15" t="n">
        <f aca="false">SUMPRODUCT(E11:E15,F11:F15)</f>
        <v>3.4</v>
      </c>
    </row>
    <row r="22" customFormat="false" ht="15" hidden="false" customHeight="false" outlineLevel="0" collapsed="false">
      <c r="A22" s="16" t="s">
        <v>24</v>
      </c>
      <c r="B22" s="17" t="n">
        <f aca="false">B19-B20-B21</f>
        <v>26.35</v>
      </c>
    </row>
    <row r="24" customFormat="false" ht="15" hidden="false" customHeight="false" outlineLevel="0" collapsed="false">
      <c r="A24" s="3" t="s">
        <v>25</v>
      </c>
      <c r="B24" s="4"/>
      <c r="C24" s="4"/>
      <c r="D24" s="4"/>
      <c r="E24" s="4"/>
      <c r="F24" s="4"/>
    </row>
    <row r="25" customFormat="false" ht="15" hidden="false" customHeight="false" outlineLevel="0" collapsed="false">
      <c r="A25" s="0" t="s">
        <v>26</v>
      </c>
      <c r="B25" s="5" t="n">
        <v>60</v>
      </c>
    </row>
    <row r="26" customFormat="false" ht="15" hidden="false" customHeight="false" outlineLevel="0" collapsed="false">
      <c r="A26" s="0" t="s">
        <v>27</v>
      </c>
      <c r="B26" s="5" t="n">
        <v>20</v>
      </c>
    </row>
    <row r="27" customFormat="false" ht="15" hidden="false" customHeight="false" outlineLevel="0" collapsed="false">
      <c r="A27" s="16" t="s">
        <v>28</v>
      </c>
      <c r="B27" s="18" t="n">
        <f aca="false">B25+B26</f>
        <v>80</v>
      </c>
    </row>
    <row r="29" customFormat="false" ht="15" hidden="false" customHeight="false" outlineLevel="0" collapsed="false">
      <c r="A29" s="2" t="s">
        <v>29</v>
      </c>
    </row>
    <row r="30" customFormat="false" ht="15" hidden="false" customHeight="false" outlineLevel="0" collapsed="false">
      <c r="A30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12" min="9" style="0" width="11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26.85" hidden="false" customHeight="false" outlineLevel="0" collapsed="false">
      <c r="A4" s="19" t="s">
        <v>33</v>
      </c>
      <c r="B4" s="19" t="s">
        <v>34</v>
      </c>
      <c r="C4" s="19" t="s">
        <v>35</v>
      </c>
      <c r="D4" s="19" t="s">
        <v>36</v>
      </c>
      <c r="E4" s="19" t="s">
        <v>37</v>
      </c>
      <c r="F4" s="19" t="s">
        <v>38</v>
      </c>
      <c r="G4" s="19" t="s">
        <v>39</v>
      </c>
      <c r="H4" s="19" t="s">
        <v>40</v>
      </c>
      <c r="I4" s="19" t="s">
        <v>41</v>
      </c>
      <c r="J4" s="19" t="s">
        <v>42</v>
      </c>
      <c r="K4" s="19" t="s">
        <v>43</v>
      </c>
      <c r="L4" s="19" t="s">
        <v>44</v>
      </c>
      <c r="M4" s="19" t="s">
        <v>45</v>
      </c>
    </row>
    <row r="5" customFormat="false" ht="15" hidden="false" customHeight="false" outlineLevel="0" collapsed="false">
      <c r="A5" s="20" t="s">
        <v>46</v>
      </c>
      <c r="D5" s="21" t="n">
        <v>0</v>
      </c>
    </row>
    <row r="6" customFormat="false" ht="15" hidden="false" customHeight="false" outlineLevel="0" collapsed="false">
      <c r="A6" s="22" t="s">
        <v>47</v>
      </c>
      <c r="B6" s="23" t="n">
        <v>20</v>
      </c>
      <c r="C6" s="24" t="n">
        <f aca="false">D5*Assumptions!$B$6</f>
        <v>0</v>
      </c>
      <c r="D6" s="24" t="n">
        <f aca="false">D5*(1-Assumptions!$B$6)+B6</f>
        <v>20</v>
      </c>
      <c r="E6" s="25" t="n">
        <f aca="false">D6*Assumptions!$B$19</f>
        <v>1174</v>
      </c>
      <c r="F6" s="25" t="n">
        <f aca="false">D6*Assumptions!$B$20</f>
        <v>579</v>
      </c>
      <c r="G6" s="25" t="n">
        <f aca="false">D6*Assumptions!$B$21</f>
        <v>68</v>
      </c>
      <c r="H6" s="25" t="n">
        <f aca="false">E6-F6-G6</f>
        <v>527</v>
      </c>
      <c r="I6" s="25" t="n">
        <f aca="false">Assumptions!$B$27</f>
        <v>80</v>
      </c>
      <c r="J6" s="26" t="n">
        <v>0</v>
      </c>
      <c r="K6" s="26" t="n">
        <v>0</v>
      </c>
      <c r="L6" s="25" t="n">
        <f aca="false">H6-I6-J6-K6</f>
        <v>447</v>
      </c>
      <c r="M6" s="25" t="n">
        <f aca="false">Assumptions!$B$5+L6</f>
        <v>447</v>
      </c>
    </row>
    <row r="7" customFormat="false" ht="15" hidden="false" customHeight="false" outlineLevel="0" collapsed="false">
      <c r="A7" s="27" t="s">
        <v>48</v>
      </c>
      <c r="B7" s="28" t="n">
        <v>18</v>
      </c>
      <c r="C7" s="29" t="n">
        <f aca="false">D6*Assumptions!$B$6</f>
        <v>2</v>
      </c>
      <c r="D7" s="29" t="n">
        <f aca="false">D6*(1-Assumptions!$B$6)+B7</f>
        <v>36</v>
      </c>
      <c r="E7" s="30" t="n">
        <f aca="false">D7*Assumptions!$B$19</f>
        <v>2113.2</v>
      </c>
      <c r="F7" s="30" t="n">
        <f aca="false">D7*Assumptions!$B$20</f>
        <v>1042.2</v>
      </c>
      <c r="G7" s="30" t="n">
        <f aca="false">D7*Assumptions!$B$21</f>
        <v>122.4</v>
      </c>
      <c r="H7" s="30" t="n">
        <f aca="false">E7-F7-G7</f>
        <v>948.6</v>
      </c>
      <c r="I7" s="30" t="n">
        <f aca="false">Assumptions!$B$27</f>
        <v>80</v>
      </c>
      <c r="J7" s="31" t="n">
        <v>0</v>
      </c>
      <c r="K7" s="31" t="n">
        <v>0</v>
      </c>
      <c r="L7" s="30" t="n">
        <f aca="false">H7-I7-J7-K7</f>
        <v>868.6</v>
      </c>
      <c r="M7" s="30" t="n">
        <f aca="false">M6+L7</f>
        <v>1315.6</v>
      </c>
    </row>
    <row r="8" customFormat="false" ht="15" hidden="false" customHeight="false" outlineLevel="0" collapsed="false">
      <c r="A8" s="22" t="s">
        <v>49</v>
      </c>
      <c r="B8" s="23" t="n">
        <v>20</v>
      </c>
      <c r="C8" s="24" t="n">
        <f aca="false">D7*Assumptions!$B$6</f>
        <v>3.6</v>
      </c>
      <c r="D8" s="24" t="n">
        <f aca="false">D7*(1-Assumptions!$B$6)+B8</f>
        <v>52.4</v>
      </c>
      <c r="E8" s="25" t="n">
        <f aca="false">D8*Assumptions!$B$19</f>
        <v>3075.88</v>
      </c>
      <c r="F8" s="25" t="n">
        <f aca="false">D8*Assumptions!$B$20</f>
        <v>1516.98</v>
      </c>
      <c r="G8" s="25" t="n">
        <f aca="false">D8*Assumptions!$B$21</f>
        <v>178.16</v>
      </c>
      <c r="H8" s="25" t="n">
        <f aca="false">E8-F8-G8</f>
        <v>1380.74</v>
      </c>
      <c r="I8" s="25" t="n">
        <f aca="false">Assumptions!$B$27</f>
        <v>80</v>
      </c>
      <c r="J8" s="26" t="n">
        <v>0</v>
      </c>
      <c r="K8" s="26" t="n">
        <v>0</v>
      </c>
      <c r="L8" s="25" t="n">
        <f aca="false">H8-I8-J8-K8</f>
        <v>1300.74</v>
      </c>
      <c r="M8" s="25" t="n">
        <f aca="false">M7+L8</f>
        <v>2616.34</v>
      </c>
    </row>
    <row r="9" customFormat="false" ht="15" hidden="false" customHeight="false" outlineLevel="0" collapsed="false">
      <c r="A9" s="27" t="s">
        <v>50</v>
      </c>
      <c r="B9" s="28" t="n">
        <v>22</v>
      </c>
      <c r="C9" s="29" t="n">
        <f aca="false">D8*Assumptions!$B$6</f>
        <v>5.24</v>
      </c>
      <c r="D9" s="29" t="n">
        <f aca="false">D8*(1-Assumptions!$B$6)+B9</f>
        <v>69.16</v>
      </c>
      <c r="E9" s="30" t="n">
        <f aca="false">D9*Assumptions!$B$19</f>
        <v>4059.692</v>
      </c>
      <c r="F9" s="30" t="n">
        <f aca="false">D9*Assumptions!$B$20</f>
        <v>2002.182</v>
      </c>
      <c r="G9" s="30" t="n">
        <f aca="false">D9*Assumptions!$B$21</f>
        <v>235.144</v>
      </c>
      <c r="H9" s="30" t="n">
        <f aca="false">E9-F9-G9</f>
        <v>1822.366</v>
      </c>
      <c r="I9" s="30" t="n">
        <f aca="false">Assumptions!$B$27</f>
        <v>80</v>
      </c>
      <c r="J9" s="31" t="n">
        <v>0</v>
      </c>
      <c r="K9" s="31" t="n">
        <v>0</v>
      </c>
      <c r="L9" s="30" t="n">
        <f aca="false">H9-I9-J9-K9</f>
        <v>1742.366</v>
      </c>
      <c r="M9" s="30" t="n">
        <f aca="false">M8+L9</f>
        <v>4358.706</v>
      </c>
    </row>
    <row r="10" customFormat="false" ht="15" hidden="false" customHeight="false" outlineLevel="0" collapsed="false">
      <c r="A10" s="22" t="s">
        <v>51</v>
      </c>
      <c r="B10" s="23" t="n">
        <v>24</v>
      </c>
      <c r="C10" s="24" t="n">
        <f aca="false">D9*Assumptions!$B$6</f>
        <v>6.916</v>
      </c>
      <c r="D10" s="24" t="n">
        <f aca="false">D9*(1-Assumptions!$B$6)+B10</f>
        <v>86.244</v>
      </c>
      <c r="E10" s="25" t="n">
        <f aca="false">D10*Assumptions!$B$19</f>
        <v>5062.5228</v>
      </c>
      <c r="F10" s="25" t="n">
        <f aca="false">D10*Assumptions!$B$20</f>
        <v>2496.7638</v>
      </c>
      <c r="G10" s="25" t="n">
        <f aca="false">D10*Assumptions!$B$21</f>
        <v>293.2296</v>
      </c>
      <c r="H10" s="25" t="n">
        <f aca="false">E10-F10-G10</f>
        <v>2272.5294</v>
      </c>
      <c r="I10" s="25" t="n">
        <f aca="false">Assumptions!$B$27</f>
        <v>80</v>
      </c>
      <c r="J10" s="26" t="n">
        <v>0</v>
      </c>
      <c r="K10" s="26" t="n">
        <v>0</v>
      </c>
      <c r="L10" s="25" t="n">
        <f aca="false">H10-I10-J10-K10</f>
        <v>2192.5294</v>
      </c>
      <c r="M10" s="25" t="n">
        <f aca="false">M9+L10</f>
        <v>6551.2354</v>
      </c>
    </row>
    <row r="11" customFormat="false" ht="15" hidden="false" customHeight="false" outlineLevel="0" collapsed="false">
      <c r="A11" s="27" t="s">
        <v>52</v>
      </c>
      <c r="B11" s="28" t="n">
        <v>25</v>
      </c>
      <c r="C11" s="29" t="n">
        <f aca="false">D10*Assumptions!$B$6</f>
        <v>8.6244</v>
      </c>
      <c r="D11" s="29" t="n">
        <f aca="false">D10*(1-Assumptions!$B$6)+B11</f>
        <v>102.6196</v>
      </c>
      <c r="E11" s="30" t="n">
        <f aca="false">D11*Assumptions!$B$19</f>
        <v>6023.77052</v>
      </c>
      <c r="F11" s="30" t="n">
        <f aca="false">D11*Assumptions!$B$20</f>
        <v>2970.83742</v>
      </c>
      <c r="G11" s="30" t="n">
        <f aca="false">D11*Assumptions!$B$21</f>
        <v>348.90664</v>
      </c>
      <c r="H11" s="30" t="n">
        <f aca="false">E11-F11-G11</f>
        <v>2704.02646</v>
      </c>
      <c r="I11" s="30" t="n">
        <f aca="false">Assumptions!$B$27</f>
        <v>80</v>
      </c>
      <c r="J11" s="31" t="n">
        <v>0</v>
      </c>
      <c r="K11" s="31" t="n">
        <v>0</v>
      </c>
      <c r="L11" s="30" t="n">
        <f aca="false">H11-I11-J11-K11</f>
        <v>2624.02646</v>
      </c>
      <c r="M11" s="30" t="n">
        <f aca="false">M10+L11</f>
        <v>9175.26186</v>
      </c>
    </row>
    <row r="12" customFormat="false" ht="15" hidden="false" customHeight="false" outlineLevel="0" collapsed="false">
      <c r="A12" s="22" t="s">
        <v>53</v>
      </c>
      <c r="B12" s="23" t="n">
        <v>26</v>
      </c>
      <c r="C12" s="24" t="n">
        <f aca="false">D11*Assumptions!$B$6</f>
        <v>10.26196</v>
      </c>
      <c r="D12" s="24" t="n">
        <f aca="false">D11*(1-Assumptions!$B$6)+B12</f>
        <v>118.35764</v>
      </c>
      <c r="E12" s="25" t="n">
        <f aca="false">D12*Assumptions!$B$19</f>
        <v>6947.593468</v>
      </c>
      <c r="F12" s="25" t="n">
        <f aca="false">D12*Assumptions!$B$20</f>
        <v>3426.453678</v>
      </c>
      <c r="G12" s="25" t="n">
        <f aca="false">D12*Assumptions!$B$21</f>
        <v>402.415976</v>
      </c>
      <c r="H12" s="25" t="n">
        <f aca="false">E12-F12-G12</f>
        <v>3118.723814</v>
      </c>
      <c r="I12" s="25" t="n">
        <f aca="false">Assumptions!$B$27</f>
        <v>80</v>
      </c>
      <c r="J12" s="26" t="n">
        <v>0</v>
      </c>
      <c r="K12" s="26" t="n">
        <v>0</v>
      </c>
      <c r="L12" s="25" t="n">
        <f aca="false">H12-I12-J12-K12</f>
        <v>3038.723814</v>
      </c>
      <c r="M12" s="25" t="n">
        <f aca="false">M11+L12</f>
        <v>12213.985674</v>
      </c>
    </row>
    <row r="13" customFormat="false" ht="15" hidden="false" customHeight="false" outlineLevel="0" collapsed="false">
      <c r="A13" s="27" t="s">
        <v>54</v>
      </c>
      <c r="B13" s="28" t="n">
        <v>27</v>
      </c>
      <c r="C13" s="29" t="n">
        <f aca="false">D12*Assumptions!$B$6</f>
        <v>11.835764</v>
      </c>
      <c r="D13" s="29" t="n">
        <f aca="false">D12*(1-Assumptions!$B$6)+B13</f>
        <v>133.521876</v>
      </c>
      <c r="E13" s="30" t="n">
        <f aca="false">D13*Assumptions!$B$19</f>
        <v>7837.7341212</v>
      </c>
      <c r="F13" s="30" t="n">
        <f aca="false">D13*Assumptions!$B$20</f>
        <v>3865.4583102</v>
      </c>
      <c r="G13" s="30" t="n">
        <f aca="false">D13*Assumptions!$B$21</f>
        <v>453.9743784</v>
      </c>
      <c r="H13" s="30" t="n">
        <f aca="false">E13-F13-G13</f>
        <v>3518.3014326</v>
      </c>
      <c r="I13" s="30" t="n">
        <f aca="false">Assumptions!$B$27</f>
        <v>80</v>
      </c>
      <c r="J13" s="31" t="n">
        <v>0</v>
      </c>
      <c r="K13" s="31" t="n">
        <v>0</v>
      </c>
      <c r="L13" s="30" t="n">
        <f aca="false">H13-I13-J13-K13</f>
        <v>3438.3014326</v>
      </c>
      <c r="M13" s="30" t="n">
        <f aca="false">M12+L13</f>
        <v>15652.2871066</v>
      </c>
    </row>
    <row r="14" customFormat="false" ht="15" hidden="false" customHeight="false" outlineLevel="0" collapsed="false">
      <c r="A14" s="22" t="s">
        <v>55</v>
      </c>
      <c r="B14" s="23" t="n">
        <v>28</v>
      </c>
      <c r="C14" s="24" t="n">
        <f aca="false">D13*Assumptions!$B$6</f>
        <v>13.3521876</v>
      </c>
      <c r="D14" s="24" t="n">
        <f aca="false">D13*(1-Assumptions!$B$6)+B14</f>
        <v>148.1696884</v>
      </c>
      <c r="E14" s="25" t="n">
        <f aca="false">D14*Assumptions!$B$19</f>
        <v>8697.56070908</v>
      </c>
      <c r="F14" s="25" t="n">
        <f aca="false">D14*Assumptions!$B$20</f>
        <v>4289.51247918</v>
      </c>
      <c r="G14" s="25" t="n">
        <f aca="false">D14*Assumptions!$B$21</f>
        <v>503.77694056</v>
      </c>
      <c r="H14" s="25" t="n">
        <f aca="false">E14-F14-G14</f>
        <v>3904.27128934</v>
      </c>
      <c r="I14" s="25" t="n">
        <f aca="false">Assumptions!$B$27</f>
        <v>80</v>
      </c>
      <c r="J14" s="26" t="n">
        <v>0</v>
      </c>
      <c r="K14" s="26" t="n">
        <v>0</v>
      </c>
      <c r="L14" s="25" t="n">
        <f aca="false">H14-I14-J14-K14</f>
        <v>3824.27128934</v>
      </c>
      <c r="M14" s="25" t="n">
        <f aca="false">M13+L14</f>
        <v>19476.55839594</v>
      </c>
    </row>
    <row r="15" customFormat="false" ht="15" hidden="false" customHeight="false" outlineLevel="0" collapsed="false">
      <c r="A15" s="27" t="s">
        <v>56</v>
      </c>
      <c r="B15" s="28" t="n">
        <v>28</v>
      </c>
      <c r="C15" s="29" t="n">
        <f aca="false">D14*Assumptions!$B$6</f>
        <v>14.81696884</v>
      </c>
      <c r="D15" s="29" t="n">
        <f aca="false">D14*(1-Assumptions!$B$6)+B15</f>
        <v>161.35271956</v>
      </c>
      <c r="E15" s="30" t="n">
        <f aca="false">D15*Assumptions!$B$19</f>
        <v>9471.404638172</v>
      </c>
      <c r="F15" s="30" t="n">
        <f aca="false">D15*Assumptions!$B$20</f>
        <v>4671.161231262</v>
      </c>
      <c r="G15" s="30" t="n">
        <f aca="false">D15*Assumptions!$B$21</f>
        <v>548.599246504</v>
      </c>
      <c r="H15" s="30" t="n">
        <f aca="false">E15-F15-G15</f>
        <v>4251.644160406</v>
      </c>
      <c r="I15" s="30" t="n">
        <f aca="false">Assumptions!$B$27</f>
        <v>80</v>
      </c>
      <c r="J15" s="31" t="n">
        <v>0</v>
      </c>
      <c r="K15" s="31" t="n">
        <v>0</v>
      </c>
      <c r="L15" s="30" t="n">
        <f aca="false">H15-I15-J15-K15</f>
        <v>4171.644160406</v>
      </c>
      <c r="M15" s="30" t="n">
        <f aca="false">M14+L15</f>
        <v>23648.202556346</v>
      </c>
    </row>
    <row r="16" customFormat="false" ht="15" hidden="false" customHeight="false" outlineLevel="0" collapsed="false">
      <c r="A16" s="22" t="s">
        <v>57</v>
      </c>
      <c r="B16" s="23" t="n">
        <v>30</v>
      </c>
      <c r="C16" s="24" t="n">
        <f aca="false">D15*Assumptions!$B$6</f>
        <v>16.135271956</v>
      </c>
      <c r="D16" s="24" t="n">
        <f aca="false">D15*(1-Assumptions!$B$6)+B16</f>
        <v>175.217447604</v>
      </c>
      <c r="E16" s="25" t="n">
        <f aca="false">D16*Assumptions!$B$19</f>
        <v>10285.2641743548</v>
      </c>
      <c r="F16" s="25" t="n">
        <f aca="false">D16*Assumptions!$B$20</f>
        <v>5072.5451081358</v>
      </c>
      <c r="G16" s="25" t="n">
        <f aca="false">D16*Assumptions!$B$21</f>
        <v>595.7393218536</v>
      </c>
      <c r="H16" s="25" t="n">
        <f aca="false">E16-F16-G16</f>
        <v>4616.9797443654</v>
      </c>
      <c r="I16" s="25" t="n">
        <f aca="false">Assumptions!$B$27</f>
        <v>80</v>
      </c>
      <c r="J16" s="26" t="n">
        <v>0</v>
      </c>
      <c r="K16" s="26" t="n">
        <v>0</v>
      </c>
      <c r="L16" s="25" t="n">
        <f aca="false">H16-I16-J16-K16</f>
        <v>4536.9797443654</v>
      </c>
      <c r="M16" s="25" t="n">
        <f aca="false">M15+L16</f>
        <v>28185.1823007114</v>
      </c>
    </row>
    <row r="17" customFormat="false" ht="15" hidden="false" customHeight="false" outlineLevel="0" collapsed="false">
      <c r="A17" s="27" t="s">
        <v>58</v>
      </c>
      <c r="B17" s="28" t="n">
        <v>30</v>
      </c>
      <c r="C17" s="29" t="n">
        <f aca="false">D16*Assumptions!$B$6</f>
        <v>17.5217447604</v>
      </c>
      <c r="D17" s="29" t="n">
        <f aca="false">D16*(1-Assumptions!$B$6)+B17</f>
        <v>187.6957028436</v>
      </c>
      <c r="E17" s="30" t="n">
        <f aca="false">D17*Assumptions!$B$19</f>
        <v>11017.7377569193</v>
      </c>
      <c r="F17" s="30" t="n">
        <f aca="false">D17*Assumptions!$B$20</f>
        <v>5433.79059732222</v>
      </c>
      <c r="G17" s="30" t="n">
        <f aca="false">D17*Assumptions!$B$21</f>
        <v>638.16538966824</v>
      </c>
      <c r="H17" s="30" t="n">
        <f aca="false">E17-F17-G17</f>
        <v>4945.78176992886</v>
      </c>
      <c r="I17" s="30" t="n">
        <f aca="false">Assumptions!$B$27</f>
        <v>80</v>
      </c>
      <c r="J17" s="31" t="n">
        <v>0</v>
      </c>
      <c r="K17" s="31" t="n">
        <v>0</v>
      </c>
      <c r="L17" s="30" t="n">
        <f aca="false">H17-I17-J17-K17</f>
        <v>4865.78176992886</v>
      </c>
      <c r="M17" s="30" t="n">
        <f aca="false">M16+L17</f>
        <v>33050.9640706403</v>
      </c>
    </row>
    <row r="18" customFormat="false" ht="15" hidden="false" customHeight="false" outlineLevel="0" collapsed="false">
      <c r="A18" s="22" t="s">
        <v>59</v>
      </c>
      <c r="B18" s="23" t="n">
        <v>30</v>
      </c>
      <c r="C18" s="24" t="n">
        <f aca="false">D17*Assumptions!$B$6</f>
        <v>18.76957028436</v>
      </c>
      <c r="D18" s="24" t="n">
        <f aca="false">D17*(1-Assumptions!$B$6)+B18</f>
        <v>198.92613255924</v>
      </c>
      <c r="E18" s="25" t="n">
        <f aca="false">D18*Assumptions!$B$19</f>
        <v>11676.9639812274</v>
      </c>
      <c r="F18" s="25" t="n">
        <f aca="false">D18*Assumptions!$B$20</f>
        <v>5758.91153759</v>
      </c>
      <c r="G18" s="25" t="n">
        <f aca="false">D18*Assumptions!$B$21</f>
        <v>676.348850701416</v>
      </c>
      <c r="H18" s="25" t="n">
        <f aca="false">E18-F18-G18</f>
        <v>5241.70359293598</v>
      </c>
      <c r="I18" s="25" t="n">
        <f aca="false">Assumptions!$B$27</f>
        <v>80</v>
      </c>
      <c r="J18" s="26" t="n">
        <v>0</v>
      </c>
      <c r="K18" s="26" t="n">
        <v>0</v>
      </c>
      <c r="L18" s="25" t="n">
        <f aca="false">H18-I18-J18-K18</f>
        <v>5161.70359293598</v>
      </c>
      <c r="M18" s="25" t="n">
        <f aca="false">M17+L18</f>
        <v>38212.6676635763</v>
      </c>
    </row>
    <row r="19" customFormat="false" ht="15" hidden="false" customHeight="false" outlineLevel="0" collapsed="false">
      <c r="A19" s="27" t="s">
        <v>60</v>
      </c>
      <c r="B19" s="28" t="n">
        <v>30</v>
      </c>
      <c r="C19" s="29" t="n">
        <f aca="false">D18*Assumptions!$B$6</f>
        <v>19.892613255924</v>
      </c>
      <c r="D19" s="29" t="n">
        <f aca="false">D18*(1-Assumptions!$B$6)+B19</f>
        <v>209.033519303316</v>
      </c>
      <c r="E19" s="30" t="n">
        <f aca="false">D19*Assumptions!$B$19</f>
        <v>12270.2675831047</v>
      </c>
      <c r="F19" s="30" t="n">
        <f aca="false">D19*Assumptions!$B$20</f>
        <v>6051.520383831</v>
      </c>
      <c r="G19" s="30" t="n">
        <f aca="false">D19*Assumptions!$B$21</f>
        <v>710.713965631275</v>
      </c>
      <c r="H19" s="30" t="n">
        <f aca="false">E19-F19-G19</f>
        <v>5508.03323364238</v>
      </c>
      <c r="I19" s="30" t="n">
        <f aca="false">Assumptions!$B$27</f>
        <v>80</v>
      </c>
      <c r="J19" s="31" t="n">
        <v>0</v>
      </c>
      <c r="K19" s="31" t="n">
        <v>0</v>
      </c>
      <c r="L19" s="30" t="n">
        <f aca="false">H19-I19-J19-K19</f>
        <v>5428.03323364238</v>
      </c>
      <c r="M19" s="30" t="n">
        <f aca="false">M18+L19</f>
        <v>43640.7008972186</v>
      </c>
    </row>
    <row r="20" customFormat="false" ht="15" hidden="false" customHeight="false" outlineLevel="0" collapsed="false">
      <c r="A20" s="22" t="s">
        <v>61</v>
      </c>
      <c r="B20" s="23" t="n">
        <v>30</v>
      </c>
      <c r="C20" s="24" t="n">
        <f aca="false">D19*Assumptions!$B$6</f>
        <v>20.9033519303316</v>
      </c>
      <c r="D20" s="24" t="n">
        <f aca="false">D19*(1-Assumptions!$B$6)+B20</f>
        <v>218.130167372984</v>
      </c>
      <c r="E20" s="25" t="n">
        <f aca="false">D20*Assumptions!$B$19</f>
        <v>12804.2408247942</v>
      </c>
      <c r="F20" s="25" t="n">
        <f aca="false">D20*Assumptions!$B$20</f>
        <v>6314.8683454479</v>
      </c>
      <c r="G20" s="25" t="n">
        <f aca="false">D20*Assumptions!$B$21</f>
        <v>741.642569068147</v>
      </c>
      <c r="H20" s="25" t="n">
        <f aca="false">E20-F20-G20</f>
        <v>5747.72991027814</v>
      </c>
      <c r="I20" s="25" t="n">
        <f aca="false">Assumptions!$B$27</f>
        <v>80</v>
      </c>
      <c r="J20" s="26" t="n">
        <v>0</v>
      </c>
      <c r="K20" s="26" t="n">
        <v>0</v>
      </c>
      <c r="L20" s="25" t="n">
        <f aca="false">H20-I20-J20-K20</f>
        <v>5667.72991027814</v>
      </c>
      <c r="M20" s="25" t="n">
        <f aca="false">M19+L20</f>
        <v>49308.4308074968</v>
      </c>
    </row>
    <row r="21" customFormat="false" ht="15" hidden="false" customHeight="false" outlineLevel="0" collapsed="false">
      <c r="A21" s="27" t="s">
        <v>62</v>
      </c>
      <c r="B21" s="28" t="n">
        <v>30</v>
      </c>
      <c r="C21" s="29" t="n">
        <f aca="false">D20*Assumptions!$B$6</f>
        <v>21.8130167372984</v>
      </c>
      <c r="D21" s="29" t="n">
        <f aca="false">D20*(1-Assumptions!$B$6)+B21</f>
        <v>226.317150635686</v>
      </c>
      <c r="E21" s="30" t="n">
        <f aca="false">D21*Assumptions!$B$19</f>
        <v>13284.8167423148</v>
      </c>
      <c r="F21" s="30" t="n">
        <f aca="false">D21*Assumptions!$B$20</f>
        <v>6551.88151090311</v>
      </c>
      <c r="G21" s="30" t="n">
        <f aca="false">D21*Assumptions!$B$21</f>
        <v>769.478312161332</v>
      </c>
      <c r="H21" s="30" t="n">
        <f aca="false">E21-F21-G21</f>
        <v>5963.45691925033</v>
      </c>
      <c r="I21" s="30" t="n">
        <f aca="false">Assumptions!$B$27</f>
        <v>80</v>
      </c>
      <c r="J21" s="31" t="n">
        <v>0</v>
      </c>
      <c r="K21" s="31" t="n">
        <v>0</v>
      </c>
      <c r="L21" s="30" t="n">
        <f aca="false">H21-I21-J21-K21</f>
        <v>5883.45691925033</v>
      </c>
      <c r="M21" s="30" t="n">
        <f aca="false">M20+L21</f>
        <v>55191.8877267471</v>
      </c>
    </row>
    <row r="22" customFormat="false" ht="15" hidden="false" customHeight="false" outlineLevel="0" collapsed="false">
      <c r="A22" s="22" t="s">
        <v>63</v>
      </c>
      <c r="B22" s="23" t="n">
        <v>30</v>
      </c>
      <c r="C22" s="24" t="n">
        <f aca="false">D21*Assumptions!$B$6</f>
        <v>22.6317150635686</v>
      </c>
      <c r="D22" s="24" t="n">
        <f aca="false">D21*(1-Assumptions!$B$6)+B22</f>
        <v>233.685435572117</v>
      </c>
      <c r="E22" s="25" t="n">
        <f aca="false">D22*Assumptions!$B$19</f>
        <v>13717.3350680833</v>
      </c>
      <c r="F22" s="25" t="n">
        <f aca="false">D22*Assumptions!$B$20</f>
        <v>6765.1933598128</v>
      </c>
      <c r="G22" s="25" t="n">
        <f aca="false">D22*Assumptions!$B$21</f>
        <v>794.530480945199</v>
      </c>
      <c r="H22" s="25" t="n">
        <f aca="false">E22-F22-G22</f>
        <v>6157.61122732529</v>
      </c>
      <c r="I22" s="25" t="n">
        <f aca="false">Assumptions!$B$27</f>
        <v>80</v>
      </c>
      <c r="J22" s="26" t="n">
        <v>0</v>
      </c>
      <c r="K22" s="26" t="n">
        <v>0</v>
      </c>
      <c r="L22" s="25" t="n">
        <f aca="false">H22-I22-J22-K22</f>
        <v>6077.61122732529</v>
      </c>
      <c r="M22" s="25" t="n">
        <f aca="false">M21+L22</f>
        <v>61269.4989540724</v>
      </c>
    </row>
    <row r="23" customFormat="false" ht="15" hidden="false" customHeight="false" outlineLevel="0" collapsed="false">
      <c r="A23" s="27" t="s">
        <v>64</v>
      </c>
      <c r="B23" s="28" t="n">
        <v>30</v>
      </c>
      <c r="C23" s="29" t="n">
        <f aca="false">D22*Assumptions!$B$6</f>
        <v>23.3685435572117</v>
      </c>
      <c r="D23" s="29" t="n">
        <f aca="false">D22*(1-Assumptions!$B$6)+B23</f>
        <v>240.316892014906</v>
      </c>
      <c r="E23" s="30" t="n">
        <f aca="false">D23*Assumptions!$B$19</f>
        <v>14106.601561275</v>
      </c>
      <c r="F23" s="30" t="n">
        <f aca="false">D23*Assumptions!$B$20</f>
        <v>6957.17402383152</v>
      </c>
      <c r="G23" s="30" t="n">
        <f aca="false">D23*Assumptions!$B$21</f>
        <v>817.077432850679</v>
      </c>
      <c r="H23" s="30" t="n">
        <f aca="false">E23-F23-G23</f>
        <v>6332.35010459277</v>
      </c>
      <c r="I23" s="30" t="n">
        <f aca="false">Assumptions!$B$27</f>
        <v>80</v>
      </c>
      <c r="J23" s="31" t="n">
        <v>0</v>
      </c>
      <c r="K23" s="31" t="n">
        <v>0</v>
      </c>
      <c r="L23" s="30" t="n">
        <f aca="false">H23-I23-J23-K23</f>
        <v>6252.35010459277</v>
      </c>
      <c r="M23" s="30" t="n">
        <f aca="false">M22+L23</f>
        <v>67521.8490586652</v>
      </c>
    </row>
    <row r="24" customFormat="false" ht="15" hidden="false" customHeight="false" outlineLevel="0" collapsed="false">
      <c r="A24" s="32" t="s">
        <v>65</v>
      </c>
      <c r="B24" s="33"/>
      <c r="C24" s="33"/>
      <c r="D24" s="33"/>
      <c r="E24" s="34" t="n">
        <f aca="false">SUM(E6:E23)</f>
        <v>153626.585948525</v>
      </c>
      <c r="F24" s="34" t="n">
        <f aca="false">SUM(F6:F23)</f>
        <v>75766.4337855164</v>
      </c>
      <c r="G24" s="34" t="n">
        <f aca="false">SUM(G6:G23)</f>
        <v>8898.30310434389</v>
      </c>
      <c r="H24" s="34" t="n">
        <f aca="false">SUM(H6:H23)</f>
        <v>68961.8490586652</v>
      </c>
      <c r="I24" s="34" t="n">
        <f aca="false">SUM(I6:I23)</f>
        <v>1440</v>
      </c>
      <c r="J24" s="34" t="n">
        <f aca="false">SUM(J6:J23)</f>
        <v>0</v>
      </c>
      <c r="K24" s="34" t="n">
        <f aca="false">SUM(K6:K23)</f>
        <v>0</v>
      </c>
      <c r="L24" s="34" t="n">
        <f aca="false">SUM(L6:L23)</f>
        <v>67521.8490586652</v>
      </c>
      <c r="M24" s="34" t="n">
        <f aca="false">M23</f>
        <v>67521.8490586652</v>
      </c>
    </row>
    <row r="26" customFormat="false" ht="15" hidden="false" customHeight="false" outlineLevel="0" collapsed="false">
      <c r="A26" s="3" t="s">
        <v>66</v>
      </c>
      <c r="B26" s="4"/>
      <c r="C26" s="4"/>
    </row>
    <row r="27" customFormat="false" ht="15" hidden="false" customHeight="false" outlineLevel="0" collapsed="false">
      <c r="A27" s="35" t="s">
        <v>67</v>
      </c>
      <c r="C27" s="15" t="n">
        <f aca="false">Assumptions!$B$19</f>
        <v>58.7</v>
      </c>
    </row>
    <row r="28" customFormat="false" ht="15" hidden="false" customHeight="false" outlineLevel="0" collapsed="false">
      <c r="A28" s="36" t="s">
        <v>68</v>
      </c>
      <c r="C28" s="14" t="n">
        <f aca="false">Assumptions!$B$22</f>
        <v>26.35</v>
      </c>
    </row>
    <row r="29" customFormat="false" ht="15" hidden="false" customHeight="false" outlineLevel="0" collapsed="false">
      <c r="A29" s="35" t="s">
        <v>69</v>
      </c>
      <c r="C29" s="37" t="n">
        <f aca="false">D11</f>
        <v>102.6196</v>
      </c>
    </row>
    <row r="30" customFormat="false" ht="15" hidden="false" customHeight="false" outlineLevel="0" collapsed="false">
      <c r="A30" s="35" t="s">
        <v>70</v>
      </c>
      <c r="C30" s="37" t="n">
        <f aca="false">D17</f>
        <v>187.6957028436</v>
      </c>
    </row>
    <row r="31" customFormat="false" ht="15" hidden="false" customHeight="false" outlineLevel="0" collapsed="false">
      <c r="A31" s="35" t="s">
        <v>71</v>
      </c>
      <c r="C31" s="37" t="n">
        <f aca="false">D23</f>
        <v>240.316892014906</v>
      </c>
    </row>
    <row r="32" customFormat="false" ht="15" hidden="false" customHeight="false" outlineLevel="0" collapsed="false">
      <c r="A32" s="35" t="s">
        <v>72</v>
      </c>
      <c r="C32" s="38" t="n">
        <f aca="false">H17</f>
        <v>4945.78176992886</v>
      </c>
    </row>
    <row r="33" customFormat="false" ht="15" hidden="false" customHeight="false" outlineLevel="0" collapsed="false">
      <c r="A33" s="36" t="s">
        <v>73</v>
      </c>
      <c r="C33" s="39" t="n">
        <f aca="false">M23</f>
        <v>67521.8490586652</v>
      </c>
    </row>
    <row r="34" customFormat="false" ht="15" hidden="false" customHeight="false" outlineLevel="0" collapsed="false">
      <c r="A34" s="35" t="s">
        <v>74</v>
      </c>
      <c r="C34" s="38" t="n">
        <f aca="false">H11-I11</f>
        <v>2624.02646</v>
      </c>
    </row>
    <row r="36" customFormat="false" ht="15" hidden="false" customHeight="false" outlineLevel="0" collapsed="false">
      <c r="A36" s="2" t="s">
        <v>75</v>
      </c>
    </row>
    <row r="37" customFormat="false" ht="15" hidden="false" customHeight="false" outlineLevel="0" collapsed="false">
      <c r="A37" s="2" t="s">
        <v>76</v>
      </c>
    </row>
    <row r="38" customFormat="false" ht="15" hidden="false" customHeight="false" outlineLevel="0" collapsed="false">
      <c r="A38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2026-06-11T14:29:54Z</dcterms:created>
  <dc:creator>openpyxl</dc:creator>
  <dc:description/>
  <dc:language>en-US</dc:language>
  <cp:lastModifiedBy/>
  <dcterms:modified xsi:type="dcterms:W3CDTF">2026-06-11T14:29:55Z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