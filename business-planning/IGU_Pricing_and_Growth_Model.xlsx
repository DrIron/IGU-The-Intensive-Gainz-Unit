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ing" sheetId="1" state="visible" r:id="rId3"/>
    <sheet name="Assumptions" sheetId="2" state="visible" r:id="rId4"/>
    <sheet name="Projection" sheetId="3" state="visible" r:id="rId5"/>
    <sheet name="Team &amp; Milest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IGU</author>
  </authors>
  <commentList>
    <comment ref="H17" authorId="0">
      <text>
        <r>
          <rPr>
            <sz val="10"/>
            <rFont val="Arial"/>
            <family val="2"/>
          </rPr>
          <t xml:space="preserve">Attach %: share of active clients who also buy this add-on.</t>
        </r>
      </text>
    </comment>
  </commentList>
</comments>
</file>

<file path=xl/sharedStrings.xml><?xml version="1.0" encoding="utf-8"?>
<sst xmlns="http://schemas.openxmlformats.org/spreadsheetml/2006/main" count="127" uniqueCount="109">
  <si>
    <t xml:space="preserve">IGU Pricing — coaching ladder + add-ons</t>
  </si>
  <si>
    <t xml:space="preserve">Coach pay = Price − IGU keeps − Ops. Prices in 5s; IGU keep eases by level. Edit blue cells.</t>
  </si>
  <si>
    <t xml:space="preserve">Service</t>
  </si>
  <si>
    <t xml:space="preserve">Level</t>
  </si>
  <si>
    <t xml:space="preserve">Client price</t>
  </si>
  <si>
    <t xml:space="preserve">IGU keeps</t>
  </si>
  <si>
    <t xml:space="preserve">Ops</t>
  </si>
  <si>
    <t xml:space="preserve">Coach pay</t>
  </si>
  <si>
    <t xml:space="preserve">Coach %</t>
  </si>
  <si>
    <t xml:space="preserve">Level mix</t>
  </si>
  <si>
    <t xml:space="preserve">Team Plan</t>
  </si>
  <si>
    <t xml:space="preserve">All</t>
  </si>
  <si>
    <t xml:space="preserve">1:1 Online</t>
  </si>
  <si>
    <t xml:space="preserve">Junior</t>
  </si>
  <si>
    <t xml:space="preserve">Senior</t>
  </si>
  <si>
    <t xml:space="preserve">Lead</t>
  </si>
  <si>
    <t xml:space="preserve">Hybrid</t>
  </si>
  <si>
    <t xml:space="preserve">In-Person</t>
  </si>
  <si>
    <t xml:space="preserve">Add-ons (FUTURE — referral partners, MOH-licensed). Attach % = 0 so they're excluded from counts until launched.</t>
  </si>
  <si>
    <t xml:space="preserve">Add-on</t>
  </si>
  <si>
    <t xml:space="preserve">Price</t>
  </si>
  <si>
    <t xml:space="preserve">Pro pay</t>
  </si>
  <si>
    <t xml:space="preserve">Pro %</t>
  </si>
  <si>
    <t xml:space="preserve">Attach %</t>
  </si>
  <si>
    <t xml:space="preserve">Nutrition (monthly)</t>
  </si>
  <si>
    <t xml:space="preserve">Physio remote (monthly)</t>
  </si>
  <si>
    <t xml:space="preserve">Add-on uplift per active client (attach-weighted)</t>
  </si>
  <si>
    <t xml:space="preserve">+ ARPU</t>
  </si>
  <si>
    <t xml:space="preserve">+ Pro payout</t>
  </si>
  <si>
    <t xml:space="preserve">+ Ops</t>
  </si>
  <si>
    <t xml:space="preserve">+ IGU keep</t>
  </si>
  <si>
    <t xml:space="preserve">Per-service blended (by level mix)</t>
  </si>
  <si>
    <t xml:space="preserve">Service mix</t>
  </si>
  <si>
    <t xml:space="preserve">Blended price</t>
  </si>
  <si>
    <t xml:space="preserve">Mix check</t>
  </si>
  <si>
    <t xml:space="preserve">Blended per client (coaching only; add-ons excluded at attach 0) — drives the projection</t>
  </si>
  <si>
    <t xml:space="preserve">Blended ARPU (KWD/client)</t>
  </si>
  <si>
    <t xml:space="preserve">Blended coach + pro payout</t>
  </si>
  <si>
    <t xml:space="preserve">Blended ops</t>
  </si>
  <si>
    <t xml:space="preserve">Blended IGU net per client</t>
  </si>
  <si>
    <t xml:space="preserve">Assumptions</t>
  </si>
  <si>
    <t xml:space="preserve">Starting capital (KWD)</t>
  </si>
  <si>
    <t xml:space="preserve">Monthly churn rate</t>
  </si>
  <si>
    <t xml:space="preserve">Operating fixed costs (KWD/month)</t>
  </si>
  <si>
    <t xml:space="preserve">Software &amp; infrastructure</t>
  </si>
  <si>
    <t xml:space="preserve">Marketing &amp; misc</t>
  </si>
  <si>
    <t xml:space="preserve">Accountant / bookkeeper (outsourced)</t>
  </si>
  <si>
    <t xml:space="preserve">Operating fixed total</t>
  </si>
  <si>
    <t xml:space="preserve">18-Month Projection from 0 clients (incl add-ons)</t>
  </si>
  <si>
    <t xml:space="preserve">Blue = inputs (new clients, founder draw, dev). Prices/payouts/add-ons come from the Pricing sheet.</t>
  </si>
  <si>
    <t xml:space="preserve">Month</t>
  </si>
  <si>
    <t xml:space="preserve">New clients</t>
  </si>
  <si>
    <t xml:space="preserve">Churned</t>
  </si>
  <si>
    <t xml:space="preserve">Active</t>
  </si>
  <si>
    <t xml:space="preserve">Total MRR</t>
  </si>
  <si>
    <t xml:space="preserve">Coach+Pro</t>
  </si>
  <si>
    <t xml:space="preserve">IGU gross</t>
  </si>
  <si>
    <t xml:space="preserve">Op. fixed</t>
  </si>
  <si>
    <t xml:space="preserve">Founder draw</t>
  </si>
  <si>
    <t xml:space="preserve">Dev / contractor</t>
  </si>
  <si>
    <t xml:space="preserve">Net</t>
  </si>
  <si>
    <t xml:space="preserve">Cumul. cash</t>
  </si>
  <si>
    <t xml:space="preserve">Start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</si>
  <si>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</si>
  <si>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</si>
  <si>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</si>
  <si>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</si>
  <si>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</si>
  <si>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</si>
  <si>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</si>
  <si>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</si>
  <si>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</si>
  <si>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</si>
  <si>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</si>
  <si>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</si>
  <si>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</si>
  <si>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</si>
  <si>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</si>
  <si>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</si>
  <si>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</si>
  <si>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</si>
  <si>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18-mo total</t>
  </si>
  <si>
    <t xml:space="preserve">Summary</t>
  </si>
  <si>
    <t xml:space="preserve">Blended ARPU incl add-ons</t>
  </si>
  <si>
    <t xml:space="preserve">Active clients @ month 6</t>
  </si>
  <si>
    <t xml:space="preserve">Active clients @ month 12</t>
  </si>
  <si>
    <t xml:space="preserve">Active clients @ month 18</t>
  </si>
  <si>
    <t xml:space="preserve">IGU gross profit @ month 12 (monthly)</t>
  </si>
  <si>
    <t xml:space="preserve">Cash retained over 18 months</t>
  </si>
  <si>
    <t xml:space="preserve">Support team — client goals per hire</t>
  </si>
  <si>
    <t xml:space="preserve">Coaching clients only (add-ons excluded). These are IGU's fixed costs; coaches are paid from client fees, so they're NOT here. Clients = cost ÷ IGU net (~10 KWD). Edit blue costs / reorder to set priority.</t>
  </si>
  <si>
    <t xml:space="preserve">Add (in priority order)</t>
  </si>
  <si>
    <t xml:space="preserve">Monthly cost</t>
  </si>
  <si>
    <t xml:space="preserve">Clients (alone)</t>
  </si>
  <si>
    <t xml:space="preserve">Cumulative cost</t>
  </si>
  <si>
    <t xml:space="preserve">Cumulative clients</t>
  </si>
  <si>
    <t xml:space="preserve">≈ Month</t>
  </si>
  <si>
    <t xml:space="preserve">Operating base (software, accountant, marketing/tools)</t>
  </si>
  <si>
    <t xml:space="preserve">Founder draw (initial)</t>
  </si>
  <si>
    <t xml:space="preserve">First partner draw (initial)</t>
  </si>
  <si>
    <t xml:space="preserve">Developer (contractor)</t>
  </si>
  <si>
    <t xml:space="preserve">Client Success &amp; Ops (1st support hire)</t>
  </si>
  <si>
    <t xml:space="preserve">Marketing contractor (social/content)</t>
  </si>
  <si>
    <t xml:space="preserve">Finance / admin (part-time, later)</t>
  </si>
  <si>
    <t xml:space="preserve">Clients (alone) = what that role costs on its own. Cumulative = everything up to and including it,</t>
  </si>
  <si>
    <t xml:space="preserve">in this priority order. ≈ Month maps the cumulative client count onto the growth ramp.</t>
  </si>
  <si>
    <t xml:space="preserve">IGU net per client (from Pricing)</t>
  </si>
  <si>
    <t xml:space="preserve">Founder + partner take 150 KWD/mo each now. After all hires are done they switch from</t>
  </si>
  <si>
    <t xml:space="preserve">fixed draws to a profit share (see plan, §6) and these draws scale with profit.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</si>
</sst>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%"/>
    <numFmt numFmtId="167" formatCode="0.0%"/>
    <numFmt numFmtId="168" formatCode="#,##0.0"/>
    <numFmt numFmtId="169" formatCode="0;0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  <font>
      <i val="true"/>
      <sz val="11"/>
      <color rgb="FF88888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CE6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Active clients &amp; IGU gross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Projection!D4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Projection!$A$6:$A$23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Projection!$D$5:$D$23</c:f>
              <c:numCache>
                <c:formatCode>0;0;\-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36</c:v>
                </c:pt>
                <c:pt idx="3">
                  <c:v>52.4</c:v>
                </c:pt>
                <c:pt idx="4">
                  <c:v>69.16</c:v>
                </c:pt>
                <c:pt idx="5">
                  <c:v>86.244</c:v>
                </c:pt>
                <c:pt idx="6">
                  <c:v>102.6196</c:v>
                </c:pt>
                <c:pt idx="7">
                  <c:v>118.35764</c:v>
                </c:pt>
                <c:pt idx="8">
                  <c:v>133.521876</c:v>
                </c:pt>
                <c:pt idx="9">
                  <c:v>148.1696884</c:v>
                </c:pt>
                <c:pt idx="10">
                  <c:v>161.35271956</c:v>
                </c:pt>
                <c:pt idx="11">
                  <c:v>175.217447604</c:v>
                </c:pt>
                <c:pt idx="12">
                  <c:v>187.6957028436</c:v>
                </c:pt>
                <c:pt idx="13">
                  <c:v>198.92613255924</c:v>
                </c:pt>
                <c:pt idx="14">
                  <c:v>209.033519303316</c:v>
                </c:pt>
                <c:pt idx="15">
                  <c:v>218.130167372984</c:v>
                </c:pt>
                <c:pt idx="16">
                  <c:v>226.317150635686</c:v>
                </c:pt>
                <c:pt idx="17">
                  <c:v>233.685435572117</c:v>
                </c:pt>
                <c:pt idx="18">
                  <c:v>240.316892014906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Projection!H4</c:f>
              <c:strCache>
                <c:ptCount val="1"/>
                <c:pt idx="0">
                  <c:v>IGU gross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Projection!$A$6:$A$23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Projection!$H$5:$H$23</c:f>
              <c:numCache>
                <c:formatCode>#,##0;\(#,##0\);\-</c:formatCode>
                <c:ptCount val="19"/>
                <c:pt idx="1">
                  <c:v>204.15</c:v>
                </c:pt>
                <c:pt idx="2">
                  <c:v>367.47</c:v>
                </c:pt>
                <c:pt idx="3">
                  <c:v>534.873</c:v>
                </c:pt>
                <c:pt idx="4">
                  <c:v>705.9507</c:v>
                </c:pt>
                <c:pt idx="5">
                  <c:v>880.33563</c:v>
                </c:pt>
                <c:pt idx="6">
                  <c:v>1047.489567</c:v>
                </c:pt>
                <c:pt idx="7">
                  <c:v>1208.1356103</c:v>
                </c:pt>
                <c:pt idx="8">
                  <c:v>1362.92454927</c:v>
                </c:pt>
                <c:pt idx="9">
                  <c:v>1512.442094343</c:v>
                </c:pt>
                <c:pt idx="10">
                  <c:v>1647.0078849087</c:v>
                </c:pt>
                <c:pt idx="11">
                  <c:v>1788.53209641783</c:v>
                </c:pt>
                <c:pt idx="12">
                  <c:v>1915.90388677605</c:v>
                </c:pt>
                <c:pt idx="13">
                  <c:v>2030.53849809844</c:v>
                </c:pt>
                <c:pt idx="14">
                  <c:v>2133.7096482886</c:v>
                </c:pt>
                <c:pt idx="15">
                  <c:v>2226.56368345974</c:v>
                </c:pt>
                <c:pt idx="16">
                  <c:v>2310.13231511377</c:v>
                </c:pt>
                <c:pt idx="17">
                  <c:v>2385.34408360239</c:v>
                </c:pt>
                <c:pt idx="18">
                  <c:v>2453.03467524215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439405"/>
        <c:axId val="64198412"/>
      </c:lineChart>
      <c:catAx>
        <c:axId val="724394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198412"/>
        <c:crosses val="autoZero"/>
        <c:auto val="1"/>
        <c:lblAlgn val="ctr"/>
        <c:lblOffset val="100"/>
        <c:noMultiLvlLbl val="0"/>
      </c:catAx>
      <c:valAx>
        <c:axId val="64198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4394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25</xdr:row>
      <xdr:rowOff>0</xdr:rowOff>
    </xdr:from>
    <xdr:to>
      <xdr:col>12</xdr:col>
      <xdr:colOff>276840</xdr:colOff>
      <xdr:row>40</xdr:row>
      <xdr:rowOff>21960</xdr:rowOff>
    </xdr:to>
    <xdr:graphicFrame>
      <xdr:nvGraphicFramePr>
        <xdr:cNvPr id="1" name="Chart 1"/>
        <xdr:cNvGraphicFramePr/>
      </xdr:nvGraphicFramePr>
      <xdr:xfrm>
        <a:off x="3101400" y="49428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6" t="n">
        <v>10</v>
      </c>
      <c r="D5" s="6" t="n">
        <v>2</v>
      </c>
      <c r="E5" s="6" t="n">
        <v>2</v>
      </c>
      <c r="F5" s="7" t="n">
        <f aca="false">C5-D5-E5</f>
        <v>6</v>
      </c>
      <c r="G5" s="8" t="n">
        <f aca="false">F5/C5</f>
        <v>0.6</v>
      </c>
      <c r="H5" s="9" t="n">
        <v>1</v>
      </c>
    </row>
    <row r="6" customFormat="false" ht="15" hidden="false" customHeight="false" outlineLevel="0" collapsed="false">
      <c r="A6" s="4" t="s">
        <v>12</v>
      </c>
      <c r="B6" s="5" t="s">
        <v>13</v>
      </c>
      <c r="C6" s="6" t="n">
        <v>30</v>
      </c>
      <c r="D6" s="6" t="n">
        <v>10</v>
      </c>
      <c r="E6" s="6" t="n">
        <v>3</v>
      </c>
      <c r="F6" s="7" t="n">
        <f aca="false">C6-D6-E6</f>
        <v>17</v>
      </c>
      <c r="G6" s="8" t="n">
        <f aca="false">F6/C6</f>
        <v>0.566666666666667</v>
      </c>
      <c r="H6" s="9" t="n">
        <v>0.5</v>
      </c>
    </row>
    <row r="7" customFormat="false" ht="15" hidden="false" customHeight="false" outlineLevel="0" collapsed="false">
      <c r="A7" s="10"/>
      <c r="B7" s="5" t="s">
        <v>14</v>
      </c>
      <c r="C7" s="6" t="n">
        <v>35</v>
      </c>
      <c r="D7" s="6" t="n">
        <v>8</v>
      </c>
      <c r="E7" s="6" t="n">
        <v>3</v>
      </c>
      <c r="F7" s="7" t="n">
        <f aca="false">C7-D7-E7</f>
        <v>24</v>
      </c>
      <c r="G7" s="8" t="n">
        <f aca="false">F7/C7</f>
        <v>0.685714285714286</v>
      </c>
      <c r="H7" s="9" t="n">
        <v>0.35</v>
      </c>
    </row>
    <row r="8" customFormat="false" ht="15" hidden="false" customHeight="false" outlineLevel="0" collapsed="false">
      <c r="A8" s="10"/>
      <c r="B8" s="5" t="s">
        <v>15</v>
      </c>
      <c r="C8" s="6" t="n">
        <v>40</v>
      </c>
      <c r="D8" s="6" t="n">
        <v>7</v>
      </c>
      <c r="E8" s="6" t="n">
        <v>3</v>
      </c>
      <c r="F8" s="7" t="n">
        <f aca="false">C8-D8-E8</f>
        <v>30</v>
      </c>
      <c r="G8" s="8" t="n">
        <f aca="false">F8/C8</f>
        <v>0.75</v>
      </c>
      <c r="H8" s="9" t="n">
        <v>0.15</v>
      </c>
    </row>
    <row r="9" customFormat="false" ht="15" hidden="false" customHeight="false" outlineLevel="0" collapsed="false">
      <c r="A9" s="4" t="s">
        <v>16</v>
      </c>
      <c r="B9" s="5" t="s">
        <v>13</v>
      </c>
      <c r="C9" s="6" t="n">
        <v>95</v>
      </c>
      <c r="D9" s="6" t="n">
        <v>20</v>
      </c>
      <c r="E9" s="6" t="n">
        <v>5</v>
      </c>
      <c r="F9" s="7" t="n">
        <f aca="false">C9-D9-E9</f>
        <v>70</v>
      </c>
      <c r="G9" s="8" t="n">
        <f aca="false">F9/C9</f>
        <v>0.736842105263158</v>
      </c>
      <c r="H9" s="9" t="n">
        <v>0.5</v>
      </c>
    </row>
    <row r="10" customFormat="false" ht="15" hidden="false" customHeight="false" outlineLevel="0" collapsed="false">
      <c r="A10" s="10"/>
      <c r="B10" s="5" t="s">
        <v>14</v>
      </c>
      <c r="C10" s="6" t="n">
        <v>110</v>
      </c>
      <c r="D10" s="6" t="n">
        <v>17</v>
      </c>
      <c r="E10" s="6" t="n">
        <v>5</v>
      </c>
      <c r="F10" s="7" t="n">
        <f aca="false">C10-D10-E10</f>
        <v>88</v>
      </c>
      <c r="G10" s="8" t="n">
        <f aca="false">F10/C10</f>
        <v>0.8</v>
      </c>
      <c r="H10" s="9" t="n">
        <v>0.35</v>
      </c>
    </row>
    <row r="11" customFormat="false" ht="15" hidden="false" customHeight="false" outlineLevel="0" collapsed="false">
      <c r="A11" s="10"/>
      <c r="B11" s="5" t="s">
        <v>15</v>
      </c>
      <c r="C11" s="6" t="n">
        <v>125</v>
      </c>
      <c r="D11" s="6" t="n">
        <v>15</v>
      </c>
      <c r="E11" s="6" t="n">
        <v>5</v>
      </c>
      <c r="F11" s="7" t="n">
        <f aca="false">C11-D11-E11</f>
        <v>105</v>
      </c>
      <c r="G11" s="8" t="n">
        <f aca="false">F11/C11</f>
        <v>0.84</v>
      </c>
      <c r="H11" s="9" t="n">
        <v>0.15</v>
      </c>
    </row>
    <row r="12" customFormat="false" ht="15" hidden="false" customHeight="false" outlineLevel="0" collapsed="false">
      <c r="A12" s="4" t="s">
        <v>17</v>
      </c>
      <c r="B12" s="5" t="s">
        <v>13</v>
      </c>
      <c r="C12" s="6" t="n">
        <v>145</v>
      </c>
      <c r="D12" s="6" t="n">
        <v>30</v>
      </c>
      <c r="E12" s="6" t="n">
        <v>8</v>
      </c>
      <c r="F12" s="7" t="n">
        <f aca="false">C12-D12-E12</f>
        <v>107</v>
      </c>
      <c r="G12" s="8" t="n">
        <f aca="false">F12/C12</f>
        <v>0.737931034482759</v>
      </c>
      <c r="H12" s="9" t="n">
        <v>0.5</v>
      </c>
    </row>
    <row r="13" customFormat="false" ht="15" hidden="false" customHeight="false" outlineLevel="0" collapsed="false">
      <c r="A13" s="10"/>
      <c r="B13" s="5" t="s">
        <v>14</v>
      </c>
      <c r="C13" s="6" t="n">
        <v>175</v>
      </c>
      <c r="D13" s="6" t="n">
        <v>26</v>
      </c>
      <c r="E13" s="6" t="n">
        <v>8</v>
      </c>
      <c r="F13" s="7" t="n">
        <f aca="false">C13-D13-E13</f>
        <v>141</v>
      </c>
      <c r="G13" s="8" t="n">
        <f aca="false">F13/C13</f>
        <v>0.805714285714286</v>
      </c>
      <c r="H13" s="9" t="n">
        <v>0.35</v>
      </c>
    </row>
    <row r="14" customFormat="false" ht="15" hidden="false" customHeight="false" outlineLevel="0" collapsed="false">
      <c r="A14" s="10"/>
      <c r="B14" s="5" t="s">
        <v>15</v>
      </c>
      <c r="C14" s="6" t="n">
        <v>215</v>
      </c>
      <c r="D14" s="6" t="n">
        <v>24</v>
      </c>
      <c r="E14" s="6" t="n">
        <v>8</v>
      </c>
      <c r="F14" s="7" t="n">
        <f aca="false">C14-D14-E14</f>
        <v>183</v>
      </c>
      <c r="G14" s="8" t="n">
        <f aca="false">F14/C14</f>
        <v>0.851162790697674</v>
      </c>
      <c r="H14" s="9" t="n">
        <v>0.15</v>
      </c>
    </row>
    <row r="15" customFormat="false" ht="15" hidden="false" customHeight="false" outlineLevel="0" collapsed="false">
      <c r="A15" s="11" t="s">
        <v>18</v>
      </c>
      <c r="B15" s="12"/>
      <c r="C15" s="12"/>
      <c r="D15" s="12"/>
      <c r="E15" s="12"/>
      <c r="F15" s="12"/>
      <c r="G15" s="12"/>
      <c r="H15" s="12"/>
    </row>
    <row r="16" customFormat="false" ht="15" hidden="false" customHeight="false" outlineLevel="0" collapsed="false">
      <c r="A16" s="13" t="s">
        <v>19</v>
      </c>
      <c r="B16" s="13"/>
      <c r="C16" s="13" t="s">
        <v>20</v>
      </c>
      <c r="D16" s="13" t="s">
        <v>5</v>
      </c>
      <c r="E16" s="13" t="s">
        <v>6</v>
      </c>
      <c r="F16" s="13" t="s">
        <v>21</v>
      </c>
      <c r="G16" s="13" t="s">
        <v>22</v>
      </c>
      <c r="H16" s="13" t="s">
        <v>23</v>
      </c>
    </row>
    <row r="17" customFormat="false" ht="15" hidden="false" customHeight="false" outlineLevel="0" collapsed="false">
      <c r="A17" s="10" t="s">
        <v>24</v>
      </c>
      <c r="B17" s="10"/>
      <c r="C17" s="6" t="n">
        <v>30</v>
      </c>
      <c r="D17" s="6" t="n">
        <v>7</v>
      </c>
      <c r="E17" s="6" t="n">
        <v>2</v>
      </c>
      <c r="F17" s="7" t="n">
        <f aca="false">C17-D17-E17</f>
        <v>21</v>
      </c>
      <c r="G17" s="8" t="n">
        <f aca="false">F17/C17</f>
        <v>0.7</v>
      </c>
      <c r="H17" s="9" t="n">
        <v>0</v>
      </c>
    </row>
    <row r="18" customFormat="false" ht="15" hidden="false" customHeight="false" outlineLevel="0" collapsed="false">
      <c r="A18" s="10" t="s">
        <v>25</v>
      </c>
      <c r="B18" s="10"/>
      <c r="C18" s="6" t="n">
        <v>45</v>
      </c>
      <c r="D18" s="6" t="n">
        <v>8</v>
      </c>
      <c r="E18" s="6" t="n">
        <v>4</v>
      </c>
      <c r="F18" s="7" t="n">
        <f aca="false">C18-D18-E18</f>
        <v>33</v>
      </c>
      <c r="G18" s="8" t="n">
        <f aca="false">F18/C18</f>
        <v>0.733333333333333</v>
      </c>
      <c r="H18" s="9" t="n">
        <v>0</v>
      </c>
    </row>
    <row r="20" customFormat="false" ht="15" hidden="false" customHeight="false" outlineLevel="0" collapsed="false">
      <c r="A20" s="14" t="s">
        <v>26</v>
      </c>
      <c r="B20" s="15"/>
      <c r="C20" s="15"/>
    </row>
    <row r="21" customFormat="false" ht="15" hidden="false" customHeight="false" outlineLevel="0" collapsed="false">
      <c r="A21" s="0" t="s">
        <v>27</v>
      </c>
      <c r="C21" s="16" t="n">
        <f aca="false">C17*H17+C18*H18</f>
        <v>0</v>
      </c>
    </row>
    <row r="22" customFormat="false" ht="15" hidden="false" customHeight="false" outlineLevel="0" collapsed="false">
      <c r="A22" s="0" t="s">
        <v>28</v>
      </c>
      <c r="C22" s="16" t="n">
        <f aca="false">F17*H17+F18*H18</f>
        <v>0</v>
      </c>
    </row>
    <row r="23" customFormat="false" ht="15" hidden="false" customHeight="false" outlineLevel="0" collapsed="false">
      <c r="A23" s="0" t="s">
        <v>29</v>
      </c>
      <c r="C23" s="16" t="n">
        <f aca="false">E17*H17+E18*H18</f>
        <v>0</v>
      </c>
    </row>
    <row r="24" customFormat="false" ht="15" hidden="false" customHeight="false" outlineLevel="0" collapsed="false">
      <c r="A24" s="0" t="s">
        <v>30</v>
      </c>
      <c r="C24" s="16" t="n">
        <f aca="false">D17*H17+D18*H18</f>
        <v>0</v>
      </c>
    </row>
    <row r="26" customFormat="false" ht="15" hidden="false" customHeight="false" outlineLevel="0" collapsed="false">
      <c r="A26" s="11" t="s">
        <v>31</v>
      </c>
      <c r="B26" s="12"/>
      <c r="C26" s="12"/>
      <c r="D26" s="12"/>
      <c r="E26" s="12"/>
      <c r="F26" s="12"/>
    </row>
    <row r="27" customFormat="false" ht="26.85" hidden="false" customHeight="false" outlineLevel="0" collapsed="false">
      <c r="A27" s="17" t="s">
        <v>2</v>
      </c>
      <c r="B27" s="17" t="s">
        <v>32</v>
      </c>
      <c r="C27" s="17" t="s">
        <v>33</v>
      </c>
      <c r="D27" s="17" t="s">
        <v>7</v>
      </c>
      <c r="E27" s="17" t="s">
        <v>6</v>
      </c>
      <c r="F27" s="17" t="s">
        <v>5</v>
      </c>
    </row>
    <row r="28" customFormat="false" ht="15" hidden="false" customHeight="false" outlineLevel="0" collapsed="false">
      <c r="A28" s="10" t="s">
        <v>10</v>
      </c>
      <c r="B28" s="9" t="n">
        <v>0.35</v>
      </c>
      <c r="C28" s="18" t="n">
        <f aca="false">C5</f>
        <v>10</v>
      </c>
      <c r="D28" s="18" t="n">
        <f aca="false">F5</f>
        <v>6</v>
      </c>
      <c r="E28" s="18" t="n">
        <f aca="false">E5</f>
        <v>2</v>
      </c>
      <c r="F28" s="18" t="n">
        <f aca="false">D5</f>
        <v>2</v>
      </c>
    </row>
    <row r="29" customFormat="false" ht="15" hidden="false" customHeight="false" outlineLevel="0" collapsed="false">
      <c r="A29" s="10" t="s">
        <v>12</v>
      </c>
      <c r="B29" s="9" t="n">
        <v>0.35</v>
      </c>
      <c r="C29" s="18" t="n">
        <f aca="false">C6*H6+C7*H7+C8*H8</f>
        <v>33.25</v>
      </c>
      <c r="D29" s="18" t="n">
        <f aca="false">F6*H6+F7*H7+F8*H8</f>
        <v>21.4</v>
      </c>
      <c r="E29" s="18" t="n">
        <f aca="false">E6*H6+E7*H7+E8*H8</f>
        <v>3</v>
      </c>
      <c r="F29" s="18" t="n">
        <f aca="false">D6*H6+D7*H7+D8*H8</f>
        <v>8.85</v>
      </c>
    </row>
    <row r="30" customFormat="false" ht="15" hidden="false" customHeight="false" outlineLevel="0" collapsed="false">
      <c r="A30" s="10" t="s">
        <v>16</v>
      </c>
      <c r="B30" s="9" t="n">
        <v>0.2</v>
      </c>
      <c r="C30" s="18" t="n">
        <f aca="false">C9*H9+C10*H10+C11*H11</f>
        <v>104.75</v>
      </c>
      <c r="D30" s="18" t="n">
        <f aca="false">F9*H9+F10*H10+F11*H11</f>
        <v>81.55</v>
      </c>
      <c r="E30" s="18" t="n">
        <f aca="false">E9*H9+E10*H10+E11*H11</f>
        <v>5</v>
      </c>
      <c r="F30" s="18" t="n">
        <f aca="false">D9*H9+D10*H10+D11*H11</f>
        <v>18.2</v>
      </c>
    </row>
    <row r="31" customFormat="false" ht="15" hidden="false" customHeight="false" outlineLevel="0" collapsed="false">
      <c r="A31" s="10" t="s">
        <v>17</v>
      </c>
      <c r="B31" s="9" t="n">
        <v>0.1</v>
      </c>
      <c r="C31" s="18" t="n">
        <f aca="false">C12*H12+C13*H13+C14*H14</f>
        <v>166</v>
      </c>
      <c r="D31" s="18" t="n">
        <f aca="false">F12*H12+F13*H13+F14*H14</f>
        <v>130.3</v>
      </c>
      <c r="E31" s="18" t="n">
        <f aca="false">E12*H12+E13*H13+E14*H14</f>
        <v>8</v>
      </c>
      <c r="F31" s="18" t="n">
        <f aca="false">D12*H12+D13*H13+D14*H14</f>
        <v>27.7</v>
      </c>
    </row>
    <row r="32" customFormat="false" ht="15" hidden="false" customHeight="false" outlineLevel="0" collapsed="false">
      <c r="A32" s="19" t="s">
        <v>34</v>
      </c>
      <c r="B32" s="20" t="n">
        <f aca="false">SUM(B28:B31)</f>
        <v>1</v>
      </c>
    </row>
    <row r="34" customFormat="false" ht="15" hidden="false" customHeight="false" outlineLevel="0" collapsed="false">
      <c r="A34" s="11" t="s">
        <v>35</v>
      </c>
      <c r="B34" s="12"/>
      <c r="C34" s="12"/>
      <c r="D34" s="12"/>
      <c r="E34" s="12"/>
      <c r="F34" s="12"/>
    </row>
    <row r="35" customFormat="false" ht="15" hidden="false" customHeight="false" outlineLevel="0" collapsed="false">
      <c r="A35" s="0" t="s">
        <v>36</v>
      </c>
      <c r="C35" s="21" t="n">
        <f aca="false">SUMPRODUCT(C28:C31,B28:B31)+C21</f>
        <v>52.6875</v>
      </c>
    </row>
    <row r="36" customFormat="false" ht="15" hidden="false" customHeight="false" outlineLevel="0" collapsed="false">
      <c r="A36" s="0" t="s">
        <v>37</v>
      </c>
      <c r="C36" s="16" t="n">
        <f aca="false">SUMPRODUCT(D28:D31,B28:B31)+C22</f>
        <v>38.93</v>
      </c>
    </row>
    <row r="37" customFormat="false" ht="15" hidden="false" customHeight="false" outlineLevel="0" collapsed="false">
      <c r="A37" s="0" t="s">
        <v>38</v>
      </c>
      <c r="C37" s="16" t="n">
        <f aca="false">SUMPRODUCT(E28:E31,B28:B31)+C23</f>
        <v>3.55</v>
      </c>
    </row>
    <row r="38" customFormat="false" ht="15" hidden="false" customHeight="false" outlineLevel="0" collapsed="false">
      <c r="A38" s="22" t="s">
        <v>39</v>
      </c>
      <c r="C38" s="21" t="n">
        <f aca="false">SUMPRODUCT(F28:F31,B28:B31)+C24</f>
        <v>10.2075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40</v>
      </c>
    </row>
    <row r="3" customFormat="false" ht="15" hidden="false" customHeight="false" outlineLevel="0" collapsed="false">
      <c r="A3" s="0" t="s">
        <v>41</v>
      </c>
      <c r="B3" s="23" t="n">
        <v>0</v>
      </c>
    </row>
    <row r="4" customFormat="false" ht="15" hidden="false" customHeight="false" outlineLevel="0" collapsed="false">
      <c r="A4" s="0" t="s">
        <v>42</v>
      </c>
      <c r="B4" s="24" t="n">
        <v>0.1</v>
      </c>
    </row>
    <row r="6" customFormat="false" ht="15" hidden="false" customHeight="false" outlineLevel="0" collapsed="false">
      <c r="A6" s="11" t="s">
        <v>43</v>
      </c>
      <c r="B6" s="12"/>
    </row>
    <row r="7" customFormat="false" ht="15" hidden="false" customHeight="false" outlineLevel="0" collapsed="false">
      <c r="A7" s="0" t="s">
        <v>44</v>
      </c>
      <c r="B7" s="23" t="n">
        <v>60</v>
      </c>
    </row>
    <row r="8" customFormat="false" ht="15" hidden="false" customHeight="false" outlineLevel="0" collapsed="false">
      <c r="A8" s="0" t="s">
        <v>45</v>
      </c>
      <c r="B8" s="23" t="n">
        <v>50</v>
      </c>
    </row>
    <row r="9" customFormat="false" ht="15" hidden="false" customHeight="false" outlineLevel="0" collapsed="false">
      <c r="A9" s="0" t="s">
        <v>46</v>
      </c>
      <c r="B9" s="23" t="n">
        <v>100</v>
      </c>
    </row>
    <row r="10" customFormat="false" ht="15" hidden="false" customHeight="false" outlineLevel="0" collapsed="false">
      <c r="A10" s="22" t="s">
        <v>47</v>
      </c>
      <c r="B10" s="25" t="n">
        <f aca="false">B7+B8+B9</f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6" min="4" style="0" width="11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26.85" hidden="false" customHeight="false" outlineLevel="0" collapsed="false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6</v>
      </c>
      <c r="H4" s="3" t="s">
        <v>56</v>
      </c>
      <c r="I4" s="3" t="s">
        <v>57</v>
      </c>
      <c r="J4" s="3" t="s">
        <v>58</v>
      </c>
      <c r="K4" s="3" t="s">
        <v>59</v>
      </c>
      <c r="L4" s="3" t="s">
        <v>60</v>
      </c>
      <c r="M4" s="3" t="s">
        <v>61</v>
      </c>
    </row>
    <row r="5" customFormat="false" ht="15" hidden="false" customHeight="false" outlineLevel="0" collapsed="false">
      <c r="A5" s="26" t="s">
        <v>62</v>
      </c>
      <c r="D5" s="27" t="n">
        <v>0</v>
      </c>
    </row>
    <row r="6" customFormat="false" ht="15" hidden="false" customHeight="false" outlineLevel="0" collapsed="false">
      <c r="A6" s="5" t="s">
        <v>63</v>
      </c>
      <c r="B6" s="28" t="n">
        <v>20</v>
      </c>
      <c r="C6" s="29" t="n">
        <f aca="false">D5*Assumptions!$B$4</f>
        <v>0</v>
      </c>
      <c r="D6" s="29" t="n">
        <f aca="false">D5*(1-Assumptions!$B$4)+B6</f>
        <v>20</v>
      </c>
      <c r="E6" s="30" t="n">
        <f aca="false">D6*Pricing!$C$35</f>
        <v>1053.75</v>
      </c>
      <c r="F6" s="30" t="n">
        <f aca="false">D6*Pricing!$C$36</f>
        <v>778.6</v>
      </c>
      <c r="G6" s="30" t="n">
        <f aca="false">D6*Pricing!$C$37</f>
        <v>71</v>
      </c>
      <c r="H6" s="30" t="n">
        <f aca="false">E6-F6-G6</f>
        <v>204.15</v>
      </c>
      <c r="I6" s="30" t="n">
        <f aca="false">Assumptions!$B$10</f>
        <v>210</v>
      </c>
      <c r="J6" s="6" t="n">
        <v>0</v>
      </c>
      <c r="K6" s="6" t="n">
        <v>0</v>
      </c>
      <c r="L6" s="30" t="n">
        <f aca="false">H6-I6-J6-K6</f>
        <v>-5.85000000000002</v>
      </c>
      <c r="M6" s="30" t="n">
        <f aca="false">Assumptions!$B$3+L6</f>
        <v>-5.85000000000002</v>
      </c>
    </row>
    <row r="7" customFormat="false" ht="15" hidden="false" customHeight="false" outlineLevel="0" collapsed="false">
      <c r="A7" s="31" t="s">
        <v>64</v>
      </c>
      <c r="B7" s="32" t="n">
        <v>18</v>
      </c>
      <c r="C7" s="33" t="n">
        <f aca="false">D6*Assumptions!$B$4</f>
        <v>2</v>
      </c>
      <c r="D7" s="33" t="n">
        <f aca="false">D6*(1-Assumptions!$B$4)+B7</f>
        <v>36</v>
      </c>
      <c r="E7" s="34" t="n">
        <f aca="false">D7*Pricing!$C$35</f>
        <v>1896.75</v>
      </c>
      <c r="F7" s="34" t="n">
        <f aca="false">D7*Pricing!$C$36</f>
        <v>1401.48</v>
      </c>
      <c r="G7" s="34" t="n">
        <f aca="false">D7*Pricing!$C$37</f>
        <v>127.8</v>
      </c>
      <c r="H7" s="34" t="n">
        <f aca="false">E7-F7-G7</f>
        <v>367.47</v>
      </c>
      <c r="I7" s="34" t="n">
        <f aca="false">Assumptions!$B$10</f>
        <v>210</v>
      </c>
      <c r="J7" s="35" t="n">
        <v>0</v>
      </c>
      <c r="K7" s="35" t="n">
        <v>0</v>
      </c>
      <c r="L7" s="34" t="n">
        <f aca="false">H7-I7-J7-K7</f>
        <v>157.47</v>
      </c>
      <c r="M7" s="34" t="n">
        <f aca="false">M6+L7</f>
        <v>151.62</v>
      </c>
    </row>
    <row r="8" customFormat="false" ht="15" hidden="false" customHeight="false" outlineLevel="0" collapsed="false">
      <c r="A8" s="5" t="s">
        <v>65</v>
      </c>
      <c r="B8" s="28" t="n">
        <v>20</v>
      </c>
      <c r="C8" s="29" t="n">
        <f aca="false">D7*Assumptions!$B$4</f>
        <v>3.6</v>
      </c>
      <c r="D8" s="29" t="n">
        <f aca="false">D7*(1-Assumptions!$B$4)+B8</f>
        <v>52.4</v>
      </c>
      <c r="E8" s="30" t="n">
        <f aca="false">D8*Pricing!$C$35</f>
        <v>2760.825</v>
      </c>
      <c r="F8" s="30" t="n">
        <f aca="false">D8*Pricing!$C$36</f>
        <v>2039.932</v>
      </c>
      <c r="G8" s="30" t="n">
        <f aca="false">D8*Pricing!$C$37</f>
        <v>186.02</v>
      </c>
      <c r="H8" s="30" t="n">
        <f aca="false">E8-F8-G8</f>
        <v>534.873</v>
      </c>
      <c r="I8" s="30" t="n">
        <f aca="false">Assumptions!$B$10</f>
        <v>210</v>
      </c>
      <c r="J8" s="6" t="n">
        <v>0</v>
      </c>
      <c r="K8" s="6" t="n">
        <v>0</v>
      </c>
      <c r="L8" s="30" t="n">
        <f aca="false">H8-I8-J8-K8</f>
        <v>324.873</v>
      </c>
      <c r="M8" s="30" t="n">
        <f aca="false">M7+L8</f>
        <v>476.493</v>
      </c>
    </row>
    <row r="9" customFormat="false" ht="15" hidden="false" customHeight="false" outlineLevel="0" collapsed="false">
      <c r="A9" s="31" t="s">
        <v>66</v>
      </c>
      <c r="B9" s="32" t="n">
        <v>22</v>
      </c>
      <c r="C9" s="33" t="n">
        <f aca="false">D8*Assumptions!$B$4</f>
        <v>5.24</v>
      </c>
      <c r="D9" s="33" t="n">
        <f aca="false">D8*(1-Assumptions!$B$4)+B9</f>
        <v>69.16</v>
      </c>
      <c r="E9" s="34" t="n">
        <f aca="false">D9*Pricing!$C$35</f>
        <v>3643.8675</v>
      </c>
      <c r="F9" s="34" t="n">
        <f aca="false">D9*Pricing!$C$36</f>
        <v>2692.3988</v>
      </c>
      <c r="G9" s="34" t="n">
        <f aca="false">D9*Pricing!$C$37</f>
        <v>245.518</v>
      </c>
      <c r="H9" s="34" t="n">
        <f aca="false">E9-F9-G9</f>
        <v>705.9507</v>
      </c>
      <c r="I9" s="34" t="n">
        <f aca="false">Assumptions!$B$10</f>
        <v>210</v>
      </c>
      <c r="J9" s="35" t="n">
        <v>0</v>
      </c>
      <c r="K9" s="35" t="n">
        <v>0</v>
      </c>
      <c r="L9" s="34" t="n">
        <f aca="false">H9-I9-J9-K9</f>
        <v>495.9507</v>
      </c>
      <c r="M9" s="34" t="n">
        <f aca="false">M8+L9</f>
        <v>972.4437</v>
      </c>
    </row>
    <row r="10" customFormat="false" ht="15" hidden="false" customHeight="false" outlineLevel="0" collapsed="false">
      <c r="A10" s="5" t="s">
        <v>67</v>
      </c>
      <c r="B10" s="28" t="n">
        <v>24</v>
      </c>
      <c r="C10" s="29" t="n">
        <f aca="false">D9*Assumptions!$B$4</f>
        <v>6.916</v>
      </c>
      <c r="D10" s="29" t="n">
        <f aca="false">D9*(1-Assumptions!$B$4)+B10</f>
        <v>86.244</v>
      </c>
      <c r="E10" s="30" t="n">
        <f aca="false">D10*Pricing!$C$35</f>
        <v>4543.98075</v>
      </c>
      <c r="F10" s="30" t="n">
        <f aca="false">D10*Pricing!$C$36</f>
        <v>3357.47892</v>
      </c>
      <c r="G10" s="30" t="n">
        <f aca="false">D10*Pricing!$C$37</f>
        <v>306.1662</v>
      </c>
      <c r="H10" s="30" t="n">
        <f aca="false">E10-F10-G10</f>
        <v>880.33563</v>
      </c>
      <c r="I10" s="30" t="n">
        <f aca="false">Assumptions!$B$10</f>
        <v>210</v>
      </c>
      <c r="J10" s="6" t="n">
        <v>0</v>
      </c>
      <c r="K10" s="6" t="n">
        <v>0</v>
      </c>
      <c r="L10" s="30" t="n">
        <f aca="false">H10-I10-J10-K10</f>
        <v>670.33563</v>
      </c>
      <c r="M10" s="30" t="n">
        <f aca="false">M9+L10</f>
        <v>1642.77933</v>
      </c>
    </row>
    <row r="11" customFormat="false" ht="15" hidden="false" customHeight="false" outlineLevel="0" collapsed="false">
      <c r="A11" s="31" t="s">
        <v>68</v>
      </c>
      <c r="B11" s="32" t="n">
        <v>25</v>
      </c>
      <c r="C11" s="33" t="n">
        <f aca="false">D10*Assumptions!$B$4</f>
        <v>8.6244</v>
      </c>
      <c r="D11" s="33" t="n">
        <f aca="false">D10*(1-Assumptions!$B$4)+B11</f>
        <v>102.6196</v>
      </c>
      <c r="E11" s="34" t="n">
        <f aca="false">D11*Pricing!$C$35</f>
        <v>5406.770175</v>
      </c>
      <c r="F11" s="34" t="n">
        <f aca="false">D11*Pricing!$C$36</f>
        <v>3994.981028</v>
      </c>
      <c r="G11" s="34" t="n">
        <f aca="false">D11*Pricing!$C$37</f>
        <v>364.29958</v>
      </c>
      <c r="H11" s="34" t="n">
        <f aca="false">E11-F11-G11</f>
        <v>1047.489567</v>
      </c>
      <c r="I11" s="34" t="n">
        <f aca="false">Assumptions!$B$10</f>
        <v>210</v>
      </c>
      <c r="J11" s="35" t="n">
        <v>0</v>
      </c>
      <c r="K11" s="35" t="n">
        <v>0</v>
      </c>
      <c r="L11" s="34" t="n">
        <f aca="false">H11-I11-J11-K11</f>
        <v>837.489567000001</v>
      </c>
      <c r="M11" s="34" t="n">
        <f aca="false">M10+L11</f>
        <v>2480.268897</v>
      </c>
    </row>
    <row r="12" customFormat="false" ht="15" hidden="false" customHeight="false" outlineLevel="0" collapsed="false">
      <c r="A12" s="5" t="s">
        <v>69</v>
      </c>
      <c r="B12" s="28" t="n">
        <v>26</v>
      </c>
      <c r="C12" s="29" t="n">
        <f aca="false">D11*Assumptions!$B$4</f>
        <v>10.26196</v>
      </c>
      <c r="D12" s="29" t="n">
        <f aca="false">D11*(1-Assumptions!$B$4)+B12</f>
        <v>118.35764</v>
      </c>
      <c r="E12" s="30" t="n">
        <f aca="false">D12*Pricing!$C$35</f>
        <v>6235.9681575</v>
      </c>
      <c r="F12" s="30" t="n">
        <f aca="false">D12*Pricing!$C$36</f>
        <v>4607.6629252</v>
      </c>
      <c r="G12" s="30" t="n">
        <f aca="false">D12*Pricing!$C$37</f>
        <v>420.169622</v>
      </c>
      <c r="H12" s="30" t="n">
        <f aca="false">E12-F12-G12</f>
        <v>1208.1356103</v>
      </c>
      <c r="I12" s="30" t="n">
        <f aca="false">Assumptions!$B$10</f>
        <v>210</v>
      </c>
      <c r="J12" s="6" t="n">
        <v>0</v>
      </c>
      <c r="K12" s="6" t="n">
        <v>0</v>
      </c>
      <c r="L12" s="30" t="n">
        <f aca="false">H12-I12-J12-K12</f>
        <v>998.1356103</v>
      </c>
      <c r="M12" s="30" t="n">
        <f aca="false">M11+L12</f>
        <v>3478.4045073</v>
      </c>
    </row>
    <row r="13" customFormat="false" ht="15" hidden="false" customHeight="false" outlineLevel="0" collapsed="false">
      <c r="A13" s="31" t="s">
        <v>70</v>
      </c>
      <c r="B13" s="32" t="n">
        <v>27</v>
      </c>
      <c r="C13" s="33" t="n">
        <f aca="false">D12*Assumptions!$B$4</f>
        <v>11.835764</v>
      </c>
      <c r="D13" s="33" t="n">
        <f aca="false">D12*(1-Assumptions!$B$4)+B13</f>
        <v>133.521876</v>
      </c>
      <c r="E13" s="34" t="n">
        <f aca="false">D13*Pricing!$C$35</f>
        <v>7034.93384175</v>
      </c>
      <c r="F13" s="34" t="n">
        <f aca="false">D13*Pricing!$C$36</f>
        <v>5198.00663268</v>
      </c>
      <c r="G13" s="34" t="n">
        <f aca="false">D13*Pricing!$C$37</f>
        <v>474.0026598</v>
      </c>
      <c r="H13" s="34" t="n">
        <f aca="false">E13-F13-G13</f>
        <v>1362.92454927</v>
      </c>
      <c r="I13" s="34" t="n">
        <f aca="false">Assumptions!$B$10</f>
        <v>210</v>
      </c>
      <c r="J13" s="35" t="n">
        <v>0</v>
      </c>
      <c r="K13" s="35" t="n">
        <v>0</v>
      </c>
      <c r="L13" s="34" t="n">
        <f aca="false">H13-I13-J13-K13</f>
        <v>1152.92454927</v>
      </c>
      <c r="M13" s="34" t="n">
        <f aca="false">M12+L13</f>
        <v>4631.32905657</v>
      </c>
    </row>
    <row r="14" customFormat="false" ht="15" hidden="false" customHeight="false" outlineLevel="0" collapsed="false">
      <c r="A14" s="5" t="s">
        <v>71</v>
      </c>
      <c r="B14" s="28" t="n">
        <v>28</v>
      </c>
      <c r="C14" s="29" t="n">
        <f aca="false">D13*Assumptions!$B$4</f>
        <v>13.3521876</v>
      </c>
      <c r="D14" s="29" t="n">
        <f aca="false">D13*(1-Assumptions!$B$4)+B14</f>
        <v>148.1696884</v>
      </c>
      <c r="E14" s="30" t="n">
        <f aca="false">D14*Pricing!$C$35</f>
        <v>7806.690457575</v>
      </c>
      <c r="F14" s="30" t="n">
        <f aca="false">D14*Pricing!$C$36</f>
        <v>5768.245969412</v>
      </c>
      <c r="G14" s="30" t="n">
        <f aca="false">D14*Pricing!$C$37</f>
        <v>526.00239382</v>
      </c>
      <c r="H14" s="30" t="n">
        <f aca="false">E14-F14-G14</f>
        <v>1512.442094343</v>
      </c>
      <c r="I14" s="30" t="n">
        <f aca="false">Assumptions!$B$10</f>
        <v>210</v>
      </c>
      <c r="J14" s="6" t="n">
        <v>0</v>
      </c>
      <c r="K14" s="6" t="n">
        <v>0</v>
      </c>
      <c r="L14" s="30" t="n">
        <f aca="false">H14-I14-J14-K14</f>
        <v>1302.442094343</v>
      </c>
      <c r="M14" s="30" t="n">
        <f aca="false">M13+L14</f>
        <v>5933.771150913</v>
      </c>
    </row>
    <row r="15" customFormat="false" ht="15" hidden="false" customHeight="false" outlineLevel="0" collapsed="false">
      <c r="A15" s="31" t="s">
        <v>72</v>
      </c>
      <c r="B15" s="32" t="n">
        <v>28</v>
      </c>
      <c r="C15" s="33" t="n">
        <f aca="false">D14*Assumptions!$B$4</f>
        <v>14.81696884</v>
      </c>
      <c r="D15" s="33" t="n">
        <f aca="false">D14*(1-Assumptions!$B$4)+B15</f>
        <v>161.35271956</v>
      </c>
      <c r="E15" s="34" t="n">
        <f aca="false">D15*Pricing!$C$35</f>
        <v>8501.2714118175</v>
      </c>
      <c r="F15" s="34" t="n">
        <f aca="false">D15*Pricing!$C$36</f>
        <v>6281.4613724708</v>
      </c>
      <c r="G15" s="34" t="n">
        <f aca="false">D15*Pricing!$C$37</f>
        <v>572.802154438</v>
      </c>
      <c r="H15" s="34" t="n">
        <f aca="false">E15-F15-G15</f>
        <v>1647.0078849087</v>
      </c>
      <c r="I15" s="34" t="n">
        <f aca="false">Assumptions!$B$10</f>
        <v>210</v>
      </c>
      <c r="J15" s="35" t="n">
        <v>0</v>
      </c>
      <c r="K15" s="35" t="n">
        <v>0</v>
      </c>
      <c r="L15" s="34" t="n">
        <f aca="false">H15-I15-J15-K15</f>
        <v>1437.0078849087</v>
      </c>
      <c r="M15" s="34" t="n">
        <f aca="false">M14+L15</f>
        <v>7370.7790358217</v>
      </c>
    </row>
    <row r="16" customFormat="false" ht="15" hidden="false" customHeight="false" outlineLevel="0" collapsed="false">
      <c r="A16" s="5" t="s">
        <v>73</v>
      </c>
      <c r="B16" s="28" t="n">
        <v>30</v>
      </c>
      <c r="C16" s="29" t="n">
        <f aca="false">D15*Assumptions!$B$4</f>
        <v>16.135271956</v>
      </c>
      <c r="D16" s="29" t="n">
        <f aca="false">D15*(1-Assumptions!$B$4)+B16</f>
        <v>175.217447604</v>
      </c>
      <c r="E16" s="30" t="n">
        <f aca="false">D16*Pricing!$C$35</f>
        <v>9231.76927063575</v>
      </c>
      <c r="F16" s="30" t="n">
        <f aca="false">D16*Pricing!$C$36</f>
        <v>6821.21523522372</v>
      </c>
      <c r="G16" s="30" t="n">
        <f aca="false">D16*Pricing!$C$37</f>
        <v>622.0219389942</v>
      </c>
      <c r="H16" s="30" t="n">
        <f aca="false">E16-F16-G16</f>
        <v>1788.53209641783</v>
      </c>
      <c r="I16" s="30" t="n">
        <f aca="false">Assumptions!$B$10</f>
        <v>210</v>
      </c>
      <c r="J16" s="6" t="n">
        <v>0</v>
      </c>
      <c r="K16" s="6" t="n">
        <v>0</v>
      </c>
      <c r="L16" s="30" t="n">
        <f aca="false">H16-I16-J16-K16</f>
        <v>1578.53209641783</v>
      </c>
      <c r="M16" s="30" t="n">
        <f aca="false">M15+L16</f>
        <v>8949.31113223953</v>
      </c>
    </row>
    <row r="17" customFormat="false" ht="15" hidden="false" customHeight="false" outlineLevel="0" collapsed="false">
      <c r="A17" s="31" t="s">
        <v>74</v>
      </c>
      <c r="B17" s="32" t="n">
        <v>30</v>
      </c>
      <c r="C17" s="33" t="n">
        <f aca="false">D16*Assumptions!$B$4</f>
        <v>17.5217447604</v>
      </c>
      <c r="D17" s="33" t="n">
        <f aca="false">D16*(1-Assumptions!$B$4)+B17</f>
        <v>187.6957028436</v>
      </c>
      <c r="E17" s="34" t="n">
        <f aca="false">D17*Pricing!$C$35</f>
        <v>9889.21734357218</v>
      </c>
      <c r="F17" s="34" t="n">
        <f aca="false">D17*Pricing!$C$36</f>
        <v>7306.99371170135</v>
      </c>
      <c r="G17" s="34" t="n">
        <f aca="false">D17*Pricing!$C$37</f>
        <v>666.31974509478</v>
      </c>
      <c r="H17" s="34" t="n">
        <f aca="false">E17-F17-G17</f>
        <v>1915.90388677605</v>
      </c>
      <c r="I17" s="34" t="n">
        <f aca="false">Assumptions!$B$10</f>
        <v>210</v>
      </c>
      <c r="J17" s="35" t="n">
        <v>0</v>
      </c>
      <c r="K17" s="35" t="n">
        <v>0</v>
      </c>
      <c r="L17" s="34" t="n">
        <f aca="false">H17-I17-J17-K17</f>
        <v>1705.90388677605</v>
      </c>
      <c r="M17" s="34" t="n">
        <f aca="false">M16+L17</f>
        <v>10655.2150190156</v>
      </c>
    </row>
    <row r="18" customFormat="false" ht="15" hidden="false" customHeight="false" outlineLevel="0" collapsed="false">
      <c r="A18" s="5" t="s">
        <v>75</v>
      </c>
      <c r="B18" s="28" t="n">
        <v>30</v>
      </c>
      <c r="C18" s="29" t="n">
        <f aca="false">D17*Assumptions!$B$4</f>
        <v>18.76957028436</v>
      </c>
      <c r="D18" s="29" t="n">
        <f aca="false">D17*(1-Assumptions!$B$4)+B18</f>
        <v>198.92613255924</v>
      </c>
      <c r="E18" s="30" t="n">
        <f aca="false">D18*Pricing!$C$35</f>
        <v>10480.920609215</v>
      </c>
      <c r="F18" s="30" t="n">
        <f aca="false">D18*Pricing!$C$36</f>
        <v>7744.19434053122</v>
      </c>
      <c r="G18" s="30" t="n">
        <f aca="false">D18*Pricing!$C$37</f>
        <v>706.187770585302</v>
      </c>
      <c r="H18" s="30" t="n">
        <f aca="false">E18-F18-G18</f>
        <v>2030.53849809844</v>
      </c>
      <c r="I18" s="30" t="n">
        <f aca="false">Assumptions!$B$10</f>
        <v>210</v>
      </c>
      <c r="J18" s="6" t="n">
        <v>0</v>
      </c>
      <c r="K18" s="6" t="n">
        <v>0</v>
      </c>
      <c r="L18" s="30" t="n">
        <f aca="false">H18-I18-J18-K18</f>
        <v>1820.53849809844</v>
      </c>
      <c r="M18" s="30" t="n">
        <f aca="false">M17+L18</f>
        <v>12475.753517114</v>
      </c>
    </row>
    <row r="19" customFormat="false" ht="15" hidden="false" customHeight="false" outlineLevel="0" collapsed="false">
      <c r="A19" s="31" t="s">
        <v>76</v>
      </c>
      <c r="B19" s="32" t="n">
        <v>30</v>
      </c>
      <c r="C19" s="33" t="n">
        <f aca="false">D18*Assumptions!$B$4</f>
        <v>19.892613255924</v>
      </c>
      <c r="D19" s="33" t="n">
        <f aca="false">D18*(1-Assumptions!$B$4)+B19</f>
        <v>209.033519303316</v>
      </c>
      <c r="E19" s="34" t="n">
        <f aca="false">D19*Pricing!$C$35</f>
        <v>11013.4535482935</v>
      </c>
      <c r="F19" s="34" t="n">
        <f aca="false">D19*Pricing!$C$36</f>
        <v>8137.67490647809</v>
      </c>
      <c r="G19" s="34" t="n">
        <f aca="false">D19*Pricing!$C$37</f>
        <v>742.068993526772</v>
      </c>
      <c r="H19" s="34" t="n">
        <f aca="false">E19-F19-G19</f>
        <v>2133.7096482886</v>
      </c>
      <c r="I19" s="34" t="n">
        <f aca="false">Assumptions!$B$10</f>
        <v>210</v>
      </c>
      <c r="J19" s="35" t="n">
        <v>0</v>
      </c>
      <c r="K19" s="35" t="n">
        <v>0</v>
      </c>
      <c r="L19" s="34" t="n">
        <f aca="false">H19-I19-J19-K19</f>
        <v>1923.7096482886</v>
      </c>
      <c r="M19" s="34" t="n">
        <f aca="false">M18+L19</f>
        <v>14399.4631654026</v>
      </c>
    </row>
    <row r="20" customFormat="false" ht="15" hidden="false" customHeight="false" outlineLevel="0" collapsed="false">
      <c r="A20" s="5" t="s">
        <v>77</v>
      </c>
      <c r="B20" s="28" t="n">
        <v>30</v>
      </c>
      <c r="C20" s="29" t="n">
        <f aca="false">D19*Assumptions!$B$4</f>
        <v>20.9033519303316</v>
      </c>
      <c r="D20" s="29" t="n">
        <f aca="false">D19*(1-Assumptions!$B$4)+B20</f>
        <v>218.130167372984</v>
      </c>
      <c r="E20" s="30" t="n">
        <f aca="false">D20*Pricing!$C$35</f>
        <v>11492.7331934641</v>
      </c>
      <c r="F20" s="30" t="n">
        <f aca="false">D20*Pricing!$C$36</f>
        <v>8491.80741583028</v>
      </c>
      <c r="G20" s="30" t="n">
        <f aca="false">D20*Pricing!$C$37</f>
        <v>774.362094174095</v>
      </c>
      <c r="H20" s="30" t="n">
        <f aca="false">E20-F20-G20</f>
        <v>2226.56368345974</v>
      </c>
      <c r="I20" s="30" t="n">
        <f aca="false">Assumptions!$B$10</f>
        <v>210</v>
      </c>
      <c r="J20" s="6" t="n">
        <v>0</v>
      </c>
      <c r="K20" s="6" t="n">
        <v>0</v>
      </c>
      <c r="L20" s="30" t="n">
        <f aca="false">H20-I20-J20-K20</f>
        <v>2016.56368345974</v>
      </c>
      <c r="M20" s="30" t="n">
        <f aca="false">M19+L20</f>
        <v>16416.0268488624</v>
      </c>
    </row>
    <row r="21" customFormat="false" ht="15" hidden="false" customHeight="false" outlineLevel="0" collapsed="false">
      <c r="A21" s="31" t="s">
        <v>78</v>
      </c>
      <c r="B21" s="32" t="n">
        <v>30</v>
      </c>
      <c r="C21" s="33" t="n">
        <f aca="false">D20*Assumptions!$B$4</f>
        <v>21.8130167372984</v>
      </c>
      <c r="D21" s="33" t="n">
        <f aca="false">D20*(1-Assumptions!$B$4)+B21</f>
        <v>226.317150635686</v>
      </c>
      <c r="E21" s="34" t="n">
        <f aca="false">D21*Pricing!$C$35</f>
        <v>11924.0848741177</v>
      </c>
      <c r="F21" s="34" t="n">
        <f aca="false">D21*Pricing!$C$36</f>
        <v>8810.52667424726</v>
      </c>
      <c r="G21" s="34" t="n">
        <f aca="false">D21*Pricing!$C$37</f>
        <v>803.425884756685</v>
      </c>
      <c r="H21" s="34" t="n">
        <f aca="false">E21-F21-G21</f>
        <v>2310.13231511377</v>
      </c>
      <c r="I21" s="34" t="n">
        <f aca="false">Assumptions!$B$10</f>
        <v>210</v>
      </c>
      <c r="J21" s="35" t="n">
        <v>0</v>
      </c>
      <c r="K21" s="35" t="n">
        <v>0</v>
      </c>
      <c r="L21" s="34" t="n">
        <f aca="false">H21-I21-J21-K21</f>
        <v>2100.13231511377</v>
      </c>
      <c r="M21" s="34" t="n">
        <f aca="false">M20+L21</f>
        <v>18516.1591639761</v>
      </c>
    </row>
    <row r="22" customFormat="false" ht="15" hidden="false" customHeight="false" outlineLevel="0" collapsed="false">
      <c r="A22" s="5" t="s">
        <v>79</v>
      </c>
      <c r="B22" s="28" t="n">
        <v>30</v>
      </c>
      <c r="C22" s="29" t="n">
        <f aca="false">D21*Assumptions!$B$4</f>
        <v>22.6317150635686</v>
      </c>
      <c r="D22" s="29" t="n">
        <f aca="false">D21*(1-Assumptions!$B$4)+B22</f>
        <v>233.685435572117</v>
      </c>
      <c r="E22" s="30" t="n">
        <f aca="false">D22*Pricing!$C$35</f>
        <v>12312.3013867059</v>
      </c>
      <c r="F22" s="30" t="n">
        <f aca="false">D22*Pricing!$C$36</f>
        <v>9097.37400682253</v>
      </c>
      <c r="G22" s="30" t="n">
        <f aca="false">D22*Pricing!$C$37</f>
        <v>829.583296281017</v>
      </c>
      <c r="H22" s="30" t="n">
        <f aca="false">E22-F22-G22</f>
        <v>2385.34408360239</v>
      </c>
      <c r="I22" s="30" t="n">
        <f aca="false">Assumptions!$B$10</f>
        <v>210</v>
      </c>
      <c r="J22" s="6" t="n">
        <v>0</v>
      </c>
      <c r="K22" s="6" t="n">
        <v>0</v>
      </c>
      <c r="L22" s="30" t="n">
        <f aca="false">H22-I22-J22-K22</f>
        <v>2175.34408360239</v>
      </c>
      <c r="M22" s="30" t="n">
        <f aca="false">M21+L22</f>
        <v>20691.5032475785</v>
      </c>
    </row>
    <row r="23" customFormat="false" ht="15" hidden="false" customHeight="false" outlineLevel="0" collapsed="false">
      <c r="A23" s="31" t="s">
        <v>80</v>
      </c>
      <c r="B23" s="32" t="n">
        <v>30</v>
      </c>
      <c r="C23" s="33" t="n">
        <f aca="false">D22*Assumptions!$B$4</f>
        <v>23.3685435572117</v>
      </c>
      <c r="D23" s="33" t="n">
        <f aca="false">D22*(1-Assumptions!$B$4)+B23</f>
        <v>240.316892014906</v>
      </c>
      <c r="E23" s="34" t="n">
        <f aca="false">D23*Pricing!$C$35</f>
        <v>12661.6962480353</v>
      </c>
      <c r="F23" s="34" t="n">
        <f aca="false">D23*Pricing!$C$36</f>
        <v>9355.53660614028</v>
      </c>
      <c r="G23" s="34" t="n">
        <f aca="false">D23*Pricing!$C$37</f>
        <v>853.124966652915</v>
      </c>
      <c r="H23" s="34" t="n">
        <f aca="false">E23-F23-G23</f>
        <v>2453.03467524215</v>
      </c>
      <c r="I23" s="34" t="n">
        <f aca="false">Assumptions!$B$10</f>
        <v>210</v>
      </c>
      <c r="J23" s="35" t="n">
        <v>0</v>
      </c>
      <c r="K23" s="35" t="n">
        <v>0</v>
      </c>
      <c r="L23" s="34" t="n">
        <f aca="false">H23-I23-J23-K23</f>
        <v>2243.03467524215</v>
      </c>
      <c r="M23" s="34" t="n">
        <f aca="false">M22+L23</f>
        <v>22934.5379228207</v>
      </c>
    </row>
    <row r="24" customFormat="false" ht="15" hidden="false" customHeight="false" outlineLevel="0" collapsed="false">
      <c r="A24" s="36" t="s">
        <v>81</v>
      </c>
      <c r="B24" s="37"/>
      <c r="C24" s="37"/>
      <c r="D24" s="37"/>
      <c r="E24" s="38" t="n">
        <f aca="false">SUM(E6:E23)</f>
        <v>137890.983767682</v>
      </c>
      <c r="F24" s="38" t="n">
        <f aca="false">SUM(F6:F23)</f>
        <v>101885.570544738</v>
      </c>
      <c r="G24" s="38" t="n">
        <f aca="false">SUM(G6:G23)</f>
        <v>9290.87530012377</v>
      </c>
      <c r="H24" s="38" t="n">
        <f aca="false">SUM(H6:H23)</f>
        <v>26714.5379228207</v>
      </c>
      <c r="I24" s="38" t="n">
        <f aca="false">SUM(I6:I23)</f>
        <v>3780</v>
      </c>
      <c r="J24" s="38" t="n">
        <f aca="false">SUM(J6:J23)</f>
        <v>0</v>
      </c>
      <c r="K24" s="38" t="n">
        <f aca="false">SUM(K6:K23)</f>
        <v>0</v>
      </c>
      <c r="L24" s="38" t="n">
        <f aca="false">SUM(L6:L23)</f>
        <v>22934.5379228207</v>
      </c>
      <c r="M24" s="38" t="n">
        <f aca="false">M23</f>
        <v>22934.5379228207</v>
      </c>
    </row>
    <row r="26" customFormat="false" ht="15" hidden="false" customHeight="false" outlineLevel="0" collapsed="false">
      <c r="A26" s="11" t="s">
        <v>82</v>
      </c>
      <c r="B26" s="12"/>
      <c r="C26" s="12"/>
    </row>
    <row r="27" customFormat="false" ht="15" hidden="false" customHeight="false" outlineLevel="0" collapsed="false">
      <c r="A27" s="39" t="s">
        <v>83</v>
      </c>
      <c r="C27" s="16" t="n">
        <f aca="false">Pricing!$C$35</f>
        <v>52.6875</v>
      </c>
    </row>
    <row r="28" customFormat="false" ht="15" hidden="false" customHeight="false" outlineLevel="0" collapsed="false">
      <c r="A28" s="22" t="s">
        <v>39</v>
      </c>
      <c r="C28" s="40" t="n">
        <f aca="false">Pricing!$C$38</f>
        <v>10.2075</v>
      </c>
    </row>
    <row r="29" customFormat="false" ht="15" hidden="false" customHeight="false" outlineLevel="0" collapsed="false">
      <c r="A29" s="39" t="s">
        <v>84</v>
      </c>
      <c r="C29" s="41" t="n">
        <f aca="false">D11</f>
        <v>102.6196</v>
      </c>
    </row>
    <row r="30" customFormat="false" ht="15" hidden="false" customHeight="false" outlineLevel="0" collapsed="false">
      <c r="A30" s="39" t="s">
        <v>85</v>
      </c>
      <c r="C30" s="41" t="n">
        <f aca="false">D17</f>
        <v>187.6957028436</v>
      </c>
    </row>
    <row r="31" customFormat="false" ht="15" hidden="false" customHeight="false" outlineLevel="0" collapsed="false">
      <c r="A31" s="39" t="s">
        <v>86</v>
      </c>
      <c r="C31" s="41" t="n">
        <f aca="false">D23</f>
        <v>240.316892014906</v>
      </c>
    </row>
    <row r="32" customFormat="false" ht="15" hidden="false" customHeight="false" outlineLevel="0" collapsed="false">
      <c r="A32" s="39" t="s">
        <v>87</v>
      </c>
      <c r="C32" s="42" t="n">
        <f aca="false">H17</f>
        <v>1915.90388677605</v>
      </c>
    </row>
    <row r="33" customFormat="false" ht="15" hidden="false" customHeight="false" outlineLevel="0" collapsed="false">
      <c r="A33" s="22" t="s">
        <v>88</v>
      </c>
      <c r="C33" s="43" t="n">
        <f aca="false">M23</f>
        <v>22934.5379228207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26.85" hidden="false" customHeight="false" outlineLevel="0" collapsed="false">
      <c r="A4" s="3" t="s">
        <v>91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</row>
    <row r="5" customFormat="false" ht="15" hidden="false" customHeight="false" outlineLevel="0" collapsed="false">
      <c r="A5" s="10" t="s">
        <v>97</v>
      </c>
      <c r="B5" s="30" t="n">
        <f aca="false">Assumptions!$B$10</f>
        <v>210</v>
      </c>
      <c r="C5" s="29" t="n">
        <f aca="false">ROUNDUP(B5/Pricing!$C$38,0)</f>
        <v>21</v>
      </c>
      <c r="D5" s="30" t="n">
        <f aca="false">B5</f>
        <v>210</v>
      </c>
      <c r="E5" s="44" t="n">
        <f aca="false">ROUNDUP(D5/Pricing!$C$38,0)</f>
        <v>21</v>
      </c>
      <c r="F5" s="4" t="str">
        <f aca="false">IF(COUNTIF(Projection!$D$6:$D$23,"&lt;"&amp;E5)+1&gt;18,"&gt;M18",INDEX(Projection!$A$6:$A$23,COUNTIF(Projection!$D$6:$D$23,"&lt;"&amp;E5)+1))</f>
        <v>Aug-26</v>
      </c>
    </row>
    <row r="6" customFormat="false" ht="15" hidden="false" customHeight="false" outlineLevel="0" collapsed="false">
      <c r="A6" s="45" t="s">
        <v>98</v>
      </c>
      <c r="B6" s="35" t="n">
        <v>150</v>
      </c>
      <c r="C6" s="33" t="n">
        <f aca="false">ROUNDUP(B6/Pricing!$C$38,0)</f>
        <v>15</v>
      </c>
      <c r="D6" s="34" t="n">
        <f aca="false">D5+B6</f>
        <v>360</v>
      </c>
      <c r="E6" s="46" t="n">
        <f aca="false">ROUNDUP(D6/Pricing!$C$38,0)</f>
        <v>36</v>
      </c>
      <c r="F6" s="47" t="str">
        <f aca="false">IF(COUNTIF(Projection!$D$6:$D$23,"&lt;"&amp;E6)+1&gt;18,"&gt;M18",INDEX(Projection!$A$6:$A$23,COUNTIF(Projection!$D$6:$D$23,"&lt;"&amp;E6)+1))</f>
        <v>Aug-26</v>
      </c>
    </row>
    <row r="7" customFormat="false" ht="15" hidden="false" customHeight="false" outlineLevel="0" collapsed="false">
      <c r="A7" s="10" t="s">
        <v>99</v>
      </c>
      <c r="B7" s="6" t="n">
        <v>150</v>
      </c>
      <c r="C7" s="29" t="n">
        <f aca="false">ROUNDUP(B7/Pricing!$C$38,0)</f>
        <v>15</v>
      </c>
      <c r="D7" s="30" t="n">
        <f aca="false">D6+B7</f>
        <v>510</v>
      </c>
      <c r="E7" s="44" t="n">
        <f aca="false">ROUNDUP(D7/Pricing!$C$38,0)</f>
        <v>50</v>
      </c>
      <c r="F7" s="4" t="str">
        <f aca="false">IF(COUNTIF(Projection!$D$6:$D$23,"&lt;"&amp;E7)+1&gt;18,"&gt;M18",INDEX(Projection!$A$6:$A$23,COUNTIF(Projection!$D$6:$D$23,"&lt;"&amp;E7)+1))</f>
        <v>Sep-26</v>
      </c>
    </row>
    <row r="8" customFormat="false" ht="15" hidden="false" customHeight="false" outlineLevel="0" collapsed="false">
      <c r="A8" s="45" t="s">
        <v>100</v>
      </c>
      <c r="B8" s="35" t="n">
        <v>1200</v>
      </c>
      <c r="C8" s="33" t="n">
        <f aca="false">ROUNDUP(B8/Pricing!$C$38,0)</f>
        <v>118</v>
      </c>
      <c r="D8" s="34" t="n">
        <f aca="false">D7+B8</f>
        <v>1710</v>
      </c>
      <c r="E8" s="46" t="n">
        <f aca="false">ROUNDUP(D8/Pricing!$C$38,0)</f>
        <v>168</v>
      </c>
      <c r="F8" s="47" t="str">
        <f aca="false">IF(COUNTIF(Projection!$D$6:$D$23,"&lt;"&amp;E8)+1&gt;18,"&gt;M18",INDEX(Projection!$A$6:$A$23,COUNTIF(Projection!$D$6:$D$23,"&lt;"&amp;E8)+1))</f>
        <v>May-27</v>
      </c>
    </row>
    <row r="9" customFormat="false" ht="15" hidden="false" customHeight="false" outlineLevel="0" collapsed="false">
      <c r="A9" s="10" t="s">
        <v>101</v>
      </c>
      <c r="B9" s="6" t="n">
        <v>500</v>
      </c>
      <c r="C9" s="29" t="n">
        <f aca="false">ROUNDUP(B9/Pricing!$C$38,0)</f>
        <v>49</v>
      </c>
      <c r="D9" s="30" t="n">
        <f aca="false">D8+B9</f>
        <v>2210</v>
      </c>
      <c r="E9" s="44" t="n">
        <f aca="false">ROUNDUP(D9/Pricing!$C$38,0)</f>
        <v>217</v>
      </c>
      <c r="F9" s="4" t="str">
        <f aca="false">IF(COUNTIF(Projection!$D$6:$D$23,"&lt;"&amp;E9)+1&gt;18,"&gt;M18",INDEX(Projection!$A$6:$A$23,COUNTIF(Projection!$D$6:$D$23,"&lt;"&amp;E9)+1))</f>
        <v>Sep-27</v>
      </c>
    </row>
    <row r="10" customFormat="false" ht="15" hidden="false" customHeight="false" outlineLevel="0" collapsed="false">
      <c r="A10" s="45" t="s">
        <v>102</v>
      </c>
      <c r="B10" s="35" t="n">
        <v>300</v>
      </c>
      <c r="C10" s="33" t="n">
        <f aca="false">ROUNDUP(B10/Pricing!$C$38,0)</f>
        <v>30</v>
      </c>
      <c r="D10" s="34" t="n">
        <f aca="false">D9+B10</f>
        <v>2510</v>
      </c>
      <c r="E10" s="46" t="n">
        <f aca="false">ROUNDUP(D10/Pricing!$C$38,0)</f>
        <v>246</v>
      </c>
      <c r="F10" s="47" t="str">
        <f aca="false">IF(COUNTIF(Projection!$D$6:$D$23,"&lt;"&amp;E10)+1&gt;18,"&gt;M18",INDEX(Projection!$A$6:$A$23,COUNTIF(Projection!$D$6:$D$23,"&lt;"&amp;E10)+1))</f>
        <v>&gt;M18</v>
      </c>
    </row>
    <row r="11" customFormat="false" ht="15" hidden="false" customHeight="false" outlineLevel="0" collapsed="false">
      <c r="A11" s="10" t="s">
        <v>103</v>
      </c>
      <c r="B11" s="6" t="n">
        <v>400</v>
      </c>
      <c r="C11" s="29" t="n">
        <f aca="false">ROUNDUP(B11/Pricing!$C$38,0)</f>
        <v>40</v>
      </c>
      <c r="D11" s="30" t="n">
        <f aca="false">D10+B11</f>
        <v>2910</v>
      </c>
      <c r="E11" s="44" t="n">
        <f aca="false">ROUNDUP(D11/Pricing!$C$38,0)</f>
        <v>286</v>
      </c>
      <c r="F11" s="4" t="str">
        <f aca="false">IF(COUNTIF(Projection!$D$6:$D$23,"&lt;"&amp;E11)+1&gt;18,"&gt;M18",INDEX(Projection!$A$6:$A$23,COUNTIF(Projection!$D$6:$D$23,"&lt;"&amp;E11)+1))</f>
        <v>&gt;M18</v>
      </c>
    </row>
    <row r="13" customFormat="false" ht="15" hidden="false" customHeight="false" outlineLevel="0" collapsed="false">
      <c r="A13" s="2" t="s">
        <v>104</v>
      </c>
    </row>
    <row r="14" customFormat="false" ht="15" hidden="false" customHeight="false" outlineLevel="0" collapsed="false">
      <c r="A14" s="2" t="s">
        <v>105</v>
      </c>
    </row>
    <row r="16" customFormat="false" ht="15" hidden="false" customHeight="false" outlineLevel="0" collapsed="false">
      <c r="A16" s="22" t="s">
        <v>106</v>
      </c>
      <c r="B16" s="21" t="n">
        <f aca="false">Pricing!$C$38</f>
        <v>10.2075</v>
      </c>
    </row>
    <row r="18" customFormat="false" ht="15" hidden="false" customHeight="false" outlineLevel="0" collapsed="false">
      <c r="A18" s="2" t="s">
        <v>107</v>
      </c>
    </row>
    <row r="19" customFormat="false" ht="15" hidden="false" customHeight="false" outlineLevel="0" collapsed="false">
      <c r="A19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2026-06-11T16:53:14Z</dcterms:created>
  <dc:creator>openpyxl</dc:creator>
  <dc:description/>
  <dc:language>en-US</dc:language>
  <cp:lastModifiedBy/>
  <dcterms:modified xsi:type="dcterms:W3CDTF">2026-06-11T16:53:15Z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